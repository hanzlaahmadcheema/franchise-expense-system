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filterPrivacy="1" defaultThemeVersion="124226"/>
  <xr:revisionPtr revIDLastSave="0" documentId="8_{278EBFFA-BD8E-BD40-B72E-DA1BFDCE3BA9}" xr6:coauthVersionLast="47" xr6:coauthVersionMax="47" xr10:uidLastSave="{00000000-0000-0000-0000-000000000000}"/>
  <bookViews>
    <workbookView xWindow="240" yWindow="345" windowWidth="14805" windowHeight="7755" tabRatio="801" activeTab="1" xr2:uid="{00000000-000D-0000-FFFF-FFFF00000000}"/>
  </bookViews>
  <sheets>
    <sheet name="Home" sheetId="4" r:id="rId1"/>
    <sheet name="1" sheetId="1" r:id="rId2"/>
    <sheet name="2" sheetId="2" r:id="rId3"/>
    <sheet name="3" sheetId="3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FINAL" sheetId="33" r:id="rId3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9" i="4" l="1"/>
  <c r="L69" i="4"/>
  <c r="K69" i="4"/>
  <c r="J69" i="4"/>
  <c r="I69" i="4"/>
  <c r="H69" i="4"/>
  <c r="G69" i="4"/>
  <c r="F69" i="4"/>
  <c r="E69" i="4"/>
  <c r="D69" i="4"/>
  <c r="C69" i="4"/>
  <c r="B69" i="4"/>
  <c r="H41" i="33"/>
  <c r="G41" i="33"/>
  <c r="C30" i="33"/>
  <c r="H18" i="33"/>
  <c r="E33" i="4"/>
  <c r="F15" i="33"/>
  <c r="F18" i="33"/>
  <c r="C33" i="4"/>
  <c r="W5" i="33"/>
  <c r="V5" i="33"/>
  <c r="U5" i="33"/>
  <c r="T5" i="33"/>
  <c r="S5" i="33"/>
  <c r="R5" i="33"/>
  <c r="Q5" i="33"/>
  <c r="P5" i="33"/>
  <c r="O5" i="33"/>
  <c r="N5" i="33"/>
  <c r="M5" i="33"/>
  <c r="L5" i="33"/>
  <c r="W5" i="32"/>
  <c r="V5" i="32"/>
  <c r="U5" i="32"/>
  <c r="K68" i="4"/>
  <c r="T5" i="32"/>
  <c r="S5" i="32"/>
  <c r="R5" i="32"/>
  <c r="Q5" i="32"/>
  <c r="G68" i="4"/>
  <c r="P5" i="32"/>
  <c r="F68" i="4"/>
  <c r="O5" i="32"/>
  <c r="N5" i="32"/>
  <c r="M5" i="32"/>
  <c r="C68" i="4"/>
  <c r="L5" i="32"/>
  <c r="W5" i="31"/>
  <c r="V5" i="31"/>
  <c r="U5" i="31"/>
  <c r="K67" i="4"/>
  <c r="T5" i="31"/>
  <c r="S5" i="31"/>
  <c r="R5" i="31"/>
  <c r="Q5" i="31"/>
  <c r="G67" i="4"/>
  <c r="P5" i="31"/>
  <c r="O5" i="31"/>
  <c r="N5" i="31"/>
  <c r="M5" i="31"/>
  <c r="C67" i="4"/>
  <c r="L5" i="31"/>
  <c r="W5" i="30"/>
  <c r="M66" i="4"/>
  <c r="V5" i="30"/>
  <c r="U5" i="30"/>
  <c r="T5" i="30"/>
  <c r="S5" i="30"/>
  <c r="I66" i="4"/>
  <c r="R5" i="30"/>
  <c r="Q5" i="30"/>
  <c r="P5" i="30"/>
  <c r="O5" i="30"/>
  <c r="E66" i="4"/>
  <c r="N5" i="30"/>
  <c r="M5" i="30"/>
  <c r="C66" i="4"/>
  <c r="L5" i="30"/>
  <c r="W5" i="29"/>
  <c r="M65" i="4"/>
  <c r="V5" i="29"/>
  <c r="U5" i="29"/>
  <c r="T5" i="29"/>
  <c r="S5" i="29"/>
  <c r="I65" i="4"/>
  <c r="R5" i="29"/>
  <c r="Q5" i="29"/>
  <c r="P5" i="29"/>
  <c r="O5" i="29"/>
  <c r="E65" i="4"/>
  <c r="N5" i="29"/>
  <c r="M5" i="29"/>
  <c r="C65" i="4"/>
  <c r="L5" i="29"/>
  <c r="W5" i="28"/>
  <c r="V5" i="28"/>
  <c r="U5" i="28"/>
  <c r="K64" i="4"/>
  <c r="T5" i="28"/>
  <c r="S5" i="28"/>
  <c r="R5" i="28"/>
  <c r="Q5" i="28"/>
  <c r="G64" i="4"/>
  <c r="P5" i="28"/>
  <c r="F64" i="4"/>
  <c r="O5" i="28"/>
  <c r="E64" i="4"/>
  <c r="N5" i="28"/>
  <c r="M5" i="28"/>
  <c r="C64" i="4"/>
  <c r="L5" i="28"/>
  <c r="W5" i="27"/>
  <c r="V5" i="27"/>
  <c r="U5" i="27"/>
  <c r="K63" i="4"/>
  <c r="T5" i="27"/>
  <c r="S5" i="27"/>
  <c r="R5" i="27"/>
  <c r="Q5" i="27"/>
  <c r="G63" i="4"/>
  <c r="P5" i="27"/>
  <c r="O5" i="27"/>
  <c r="N5" i="27"/>
  <c r="D63" i="4"/>
  <c r="M5" i="27"/>
  <c r="C63" i="4"/>
  <c r="L5" i="27"/>
  <c r="W5" i="26"/>
  <c r="M62" i="4"/>
  <c r="V5" i="26"/>
  <c r="U5" i="26"/>
  <c r="T5" i="26"/>
  <c r="S5" i="26"/>
  <c r="I62" i="4"/>
  <c r="R5" i="26"/>
  <c r="Q5" i="26"/>
  <c r="P5" i="26"/>
  <c r="F62" i="4"/>
  <c r="O5" i="26"/>
  <c r="E62" i="4"/>
  <c r="N5" i="26"/>
  <c r="M5" i="26"/>
  <c r="L5" i="26"/>
  <c r="W5" i="25"/>
  <c r="M61" i="4"/>
  <c r="V5" i="25"/>
  <c r="U5" i="25"/>
  <c r="T5" i="25"/>
  <c r="S5" i="25"/>
  <c r="I61" i="4"/>
  <c r="R5" i="25"/>
  <c r="Q5" i="25"/>
  <c r="P5" i="25"/>
  <c r="O5" i="25"/>
  <c r="E61" i="4"/>
  <c r="N5" i="25"/>
  <c r="D61" i="4"/>
  <c r="M5" i="25"/>
  <c r="C61" i="4"/>
  <c r="L5" i="25"/>
  <c r="W5" i="24"/>
  <c r="V5" i="24"/>
  <c r="U5" i="24"/>
  <c r="K60" i="4"/>
  <c r="T5" i="24"/>
  <c r="S5" i="24"/>
  <c r="R5" i="24"/>
  <c r="Q5" i="24"/>
  <c r="G60" i="4"/>
  <c r="P5" i="24"/>
  <c r="O5" i="24"/>
  <c r="E60" i="4"/>
  <c r="N5" i="24"/>
  <c r="M5" i="24"/>
  <c r="C60" i="4"/>
  <c r="L5" i="24"/>
  <c r="W5" i="23"/>
  <c r="V5" i="23"/>
  <c r="U5" i="23"/>
  <c r="K59" i="4"/>
  <c r="T5" i="23"/>
  <c r="S5" i="23"/>
  <c r="R5" i="23"/>
  <c r="Q5" i="23"/>
  <c r="G59" i="4"/>
  <c r="P5" i="23"/>
  <c r="O5" i="23"/>
  <c r="N5" i="23"/>
  <c r="M5" i="23"/>
  <c r="C59" i="4"/>
  <c r="L5" i="23"/>
  <c r="W5" i="22"/>
  <c r="V5" i="22"/>
  <c r="U5" i="22"/>
  <c r="K58" i="4"/>
  <c r="T5" i="22"/>
  <c r="S5" i="22"/>
  <c r="R5" i="22"/>
  <c r="Q5" i="22"/>
  <c r="G58" i="4"/>
  <c r="P5" i="22"/>
  <c r="O5" i="22"/>
  <c r="N5" i="22"/>
  <c r="M5" i="22"/>
  <c r="C58" i="4"/>
  <c r="L5" i="22"/>
  <c r="W5" i="21"/>
  <c r="V5" i="21"/>
  <c r="U5" i="21"/>
  <c r="K57" i="4"/>
  <c r="T5" i="21"/>
  <c r="S5" i="21"/>
  <c r="R5" i="21"/>
  <c r="Q5" i="21"/>
  <c r="G57" i="4"/>
  <c r="P5" i="21"/>
  <c r="O5" i="21"/>
  <c r="E57" i="4"/>
  <c r="N5" i="21"/>
  <c r="D57" i="4"/>
  <c r="M5" i="21"/>
  <c r="C57" i="4"/>
  <c r="L5" i="21"/>
  <c r="W5" i="20"/>
  <c r="V5" i="20"/>
  <c r="U5" i="20"/>
  <c r="K56" i="4"/>
  <c r="T5" i="20"/>
  <c r="S5" i="20"/>
  <c r="R5" i="20"/>
  <c r="Q5" i="20"/>
  <c r="G56" i="4"/>
  <c r="P5" i="20"/>
  <c r="O5" i="20"/>
  <c r="E56" i="4"/>
  <c r="N5" i="20"/>
  <c r="D56" i="4"/>
  <c r="M5" i="20"/>
  <c r="C56" i="4"/>
  <c r="L5" i="20"/>
  <c r="W5" i="19"/>
  <c r="M55" i="4"/>
  <c r="V5" i="19"/>
  <c r="U5" i="19"/>
  <c r="T5" i="19"/>
  <c r="S5" i="19"/>
  <c r="I55" i="4"/>
  <c r="R5" i="19"/>
  <c r="Q5" i="19"/>
  <c r="P5" i="19"/>
  <c r="O5" i="19"/>
  <c r="E55" i="4"/>
  <c r="N5" i="19"/>
  <c r="D55" i="4"/>
  <c r="M5" i="19"/>
  <c r="L5" i="19"/>
  <c r="W5" i="18"/>
  <c r="V5" i="18"/>
  <c r="U5" i="18"/>
  <c r="K54" i="4"/>
  <c r="T5" i="18"/>
  <c r="S5" i="18"/>
  <c r="R5" i="18"/>
  <c r="Q5" i="18"/>
  <c r="G54" i="4"/>
  <c r="P5" i="18"/>
  <c r="O5" i="18"/>
  <c r="E54" i="4"/>
  <c r="N5" i="18"/>
  <c r="M5" i="18"/>
  <c r="C54" i="4"/>
  <c r="L5" i="18"/>
  <c r="W5" i="17"/>
  <c r="M53" i="4"/>
  <c r="V5" i="17"/>
  <c r="U5" i="17"/>
  <c r="T5" i="17"/>
  <c r="S5" i="17"/>
  <c r="I53" i="4"/>
  <c r="R5" i="17"/>
  <c r="Q5" i="17"/>
  <c r="P5" i="17"/>
  <c r="O5" i="17"/>
  <c r="E53" i="4"/>
  <c r="N5" i="17"/>
  <c r="D53" i="4"/>
  <c r="M5" i="17"/>
  <c r="L5" i="17"/>
  <c r="W5" i="16"/>
  <c r="V5" i="16"/>
  <c r="U5" i="16"/>
  <c r="K52" i="4"/>
  <c r="T5" i="16"/>
  <c r="S5" i="16"/>
  <c r="R5" i="16"/>
  <c r="Q5" i="16"/>
  <c r="G52" i="4"/>
  <c r="P5" i="16"/>
  <c r="O5" i="16"/>
  <c r="N5" i="16"/>
  <c r="M5" i="16"/>
  <c r="C52" i="4"/>
  <c r="L5" i="16"/>
  <c r="W5" i="15"/>
  <c r="M51" i="4"/>
  <c r="V5" i="15"/>
  <c r="U5" i="15"/>
  <c r="K51" i="4"/>
  <c r="T5" i="15"/>
  <c r="S5" i="15"/>
  <c r="I51" i="4"/>
  <c r="R5" i="15"/>
  <c r="Q5" i="15"/>
  <c r="P5" i="15"/>
  <c r="O5" i="15"/>
  <c r="E51" i="4"/>
  <c r="N5" i="15"/>
  <c r="D51" i="4"/>
  <c r="M5" i="15"/>
  <c r="L5" i="15"/>
  <c r="W5" i="14"/>
  <c r="V5" i="14"/>
  <c r="L50" i="4"/>
  <c r="U5" i="14"/>
  <c r="K50" i="4"/>
  <c r="T5" i="14"/>
  <c r="S5" i="14"/>
  <c r="R5" i="14"/>
  <c r="H50" i="4"/>
  <c r="Q5" i="14"/>
  <c r="G50" i="4"/>
  <c r="P5" i="14"/>
  <c r="O5" i="14"/>
  <c r="N5" i="14"/>
  <c r="D50" i="4"/>
  <c r="M5" i="14"/>
  <c r="C50" i="4"/>
  <c r="L5" i="14"/>
  <c r="W5" i="13"/>
  <c r="M49" i="4"/>
  <c r="V5" i="13"/>
  <c r="U5" i="13"/>
  <c r="T5" i="13"/>
  <c r="S5" i="13"/>
  <c r="I49" i="4"/>
  <c r="R5" i="13"/>
  <c r="Q5" i="13"/>
  <c r="P5" i="13"/>
  <c r="O5" i="13"/>
  <c r="N5" i="13"/>
  <c r="D49" i="4"/>
  <c r="M5" i="13"/>
  <c r="C49" i="4"/>
  <c r="L5" i="13"/>
  <c r="W5" i="12"/>
  <c r="V5" i="12"/>
  <c r="U5" i="12"/>
  <c r="K48" i="4"/>
  <c r="T5" i="12"/>
  <c r="S5" i="12"/>
  <c r="R5" i="12"/>
  <c r="Q5" i="12"/>
  <c r="G48" i="4"/>
  <c r="P5" i="12"/>
  <c r="O5" i="12"/>
  <c r="E48" i="4"/>
  <c r="N5" i="12"/>
  <c r="M5" i="12"/>
  <c r="C48" i="4"/>
  <c r="L5" i="12"/>
  <c r="W5" i="11"/>
  <c r="V5" i="11"/>
  <c r="U5" i="11"/>
  <c r="K47" i="4"/>
  <c r="T5" i="11"/>
  <c r="S5" i="11"/>
  <c r="R5" i="11"/>
  <c r="H47" i="4"/>
  <c r="Q5" i="11"/>
  <c r="G47" i="4"/>
  <c r="P5" i="11"/>
  <c r="O5" i="11"/>
  <c r="N5" i="11"/>
  <c r="M5" i="11"/>
  <c r="C47" i="4"/>
  <c r="L5" i="11"/>
  <c r="W5" i="10"/>
  <c r="M46" i="4"/>
  <c r="V5" i="10"/>
  <c r="U5" i="10"/>
  <c r="T5" i="10"/>
  <c r="S5" i="10"/>
  <c r="I46" i="4"/>
  <c r="R5" i="10"/>
  <c r="Q5" i="10"/>
  <c r="P5" i="10"/>
  <c r="O5" i="10"/>
  <c r="E46" i="4"/>
  <c r="N5" i="10"/>
  <c r="D46" i="4"/>
  <c r="M5" i="10"/>
  <c r="L5" i="10"/>
  <c r="W5" i="9"/>
  <c r="V5" i="9"/>
  <c r="U5" i="9"/>
  <c r="K45" i="4"/>
  <c r="T5" i="9"/>
  <c r="S5" i="9"/>
  <c r="R5" i="9"/>
  <c r="Q5" i="9"/>
  <c r="G45" i="4"/>
  <c r="P5" i="9"/>
  <c r="O5" i="9"/>
  <c r="N5" i="9"/>
  <c r="M5" i="9"/>
  <c r="C45" i="4"/>
  <c r="L5" i="9"/>
  <c r="W5" i="8"/>
  <c r="V5" i="8"/>
  <c r="U5" i="8"/>
  <c r="K44" i="4"/>
  <c r="T5" i="8"/>
  <c r="S5" i="8"/>
  <c r="R5" i="8"/>
  <c r="Q5" i="8"/>
  <c r="G44" i="4"/>
  <c r="P5" i="8"/>
  <c r="O5" i="8"/>
  <c r="N5" i="8"/>
  <c r="D44" i="4"/>
  <c r="M5" i="8"/>
  <c r="C44" i="4"/>
  <c r="L5" i="8"/>
  <c r="W5" i="7"/>
  <c r="M43" i="4"/>
  <c r="V5" i="7"/>
  <c r="U5" i="7"/>
  <c r="T5" i="7"/>
  <c r="S5" i="7"/>
  <c r="I43" i="4"/>
  <c r="R5" i="7"/>
  <c r="Q5" i="7"/>
  <c r="P5" i="7"/>
  <c r="O5" i="7"/>
  <c r="E43" i="4"/>
  <c r="N5" i="7"/>
  <c r="D43" i="4"/>
  <c r="M5" i="7"/>
  <c r="C43" i="4"/>
  <c r="L5" i="7"/>
  <c r="W5" i="5"/>
  <c r="V5" i="5"/>
  <c r="L41" i="4"/>
  <c r="U5" i="5"/>
  <c r="K41" i="4"/>
  <c r="T5" i="5"/>
  <c r="J41" i="4"/>
  <c r="S5" i="5"/>
  <c r="R5" i="5"/>
  <c r="Q5" i="5"/>
  <c r="G41" i="4"/>
  <c r="P5" i="5"/>
  <c r="F41" i="4"/>
  <c r="O5" i="5"/>
  <c r="N5" i="5"/>
  <c r="D41" i="4"/>
  <c r="M5" i="5"/>
  <c r="C41" i="4"/>
  <c r="L5" i="5"/>
  <c r="W5" i="6"/>
  <c r="M42" i="4"/>
  <c r="V5" i="6"/>
  <c r="L42" i="4"/>
  <c r="U5" i="6"/>
  <c r="T5" i="6"/>
  <c r="S5" i="6"/>
  <c r="I42" i="4"/>
  <c r="R5" i="6"/>
  <c r="H42" i="4"/>
  <c r="Q5" i="6"/>
  <c r="P5" i="6"/>
  <c r="O5" i="6"/>
  <c r="E42" i="4"/>
  <c r="N5" i="6"/>
  <c r="M5" i="6"/>
  <c r="L5" i="6"/>
  <c r="W5" i="3"/>
  <c r="M40" i="4"/>
  <c r="V5" i="3"/>
  <c r="U5" i="3"/>
  <c r="T5" i="3"/>
  <c r="S5" i="3"/>
  <c r="I40" i="4"/>
  <c r="R5" i="3"/>
  <c r="Q5" i="3"/>
  <c r="P5" i="3"/>
  <c r="F40" i="4"/>
  <c r="O5" i="3"/>
  <c r="E40" i="4"/>
  <c r="N5" i="3"/>
  <c r="M5" i="3"/>
  <c r="C40" i="4"/>
  <c r="L5" i="3"/>
  <c r="W5" i="2"/>
  <c r="V5" i="2"/>
  <c r="L39" i="4"/>
  <c r="U5" i="2"/>
  <c r="K39" i="4"/>
  <c r="T5" i="2"/>
  <c r="S5" i="2"/>
  <c r="R5" i="2"/>
  <c r="H39" i="4"/>
  <c r="Q5" i="2"/>
  <c r="G39" i="4"/>
  <c r="P5" i="2"/>
  <c r="O5" i="2"/>
  <c r="N5" i="2"/>
  <c r="D39" i="4"/>
  <c r="M5" i="2"/>
  <c r="C39" i="4"/>
  <c r="L5" i="2"/>
  <c r="W5" i="1"/>
  <c r="M38" i="4"/>
  <c r="V5" i="1"/>
  <c r="L38" i="4"/>
  <c r="D68" i="4"/>
  <c r="E68" i="4"/>
  <c r="H68" i="4"/>
  <c r="I68" i="4"/>
  <c r="J68" i="4"/>
  <c r="L68" i="4"/>
  <c r="M68" i="4"/>
  <c r="D67" i="4"/>
  <c r="E67" i="4"/>
  <c r="F67" i="4"/>
  <c r="H67" i="4"/>
  <c r="I67" i="4"/>
  <c r="J67" i="4"/>
  <c r="L67" i="4"/>
  <c r="M67" i="4"/>
  <c r="D66" i="4"/>
  <c r="F66" i="4"/>
  <c r="G66" i="4"/>
  <c r="H66" i="4"/>
  <c r="J66" i="4"/>
  <c r="K66" i="4"/>
  <c r="L66" i="4"/>
  <c r="D65" i="4"/>
  <c r="F65" i="4"/>
  <c r="G65" i="4"/>
  <c r="H65" i="4"/>
  <c r="J65" i="4"/>
  <c r="K65" i="4"/>
  <c r="L65" i="4"/>
  <c r="D64" i="4"/>
  <c r="H64" i="4"/>
  <c r="I64" i="4"/>
  <c r="J64" i="4"/>
  <c r="L64" i="4"/>
  <c r="M64" i="4"/>
  <c r="E63" i="4"/>
  <c r="F63" i="4"/>
  <c r="H63" i="4"/>
  <c r="I63" i="4"/>
  <c r="J63" i="4"/>
  <c r="L63" i="4"/>
  <c r="M63" i="4"/>
  <c r="C62" i="4"/>
  <c r="D62" i="4"/>
  <c r="G62" i="4"/>
  <c r="H62" i="4"/>
  <c r="J62" i="4"/>
  <c r="K62" i="4"/>
  <c r="L62" i="4"/>
  <c r="F61" i="4"/>
  <c r="G61" i="4"/>
  <c r="H61" i="4"/>
  <c r="J61" i="4"/>
  <c r="K61" i="4"/>
  <c r="L61" i="4"/>
  <c r="D60" i="4"/>
  <c r="F60" i="4"/>
  <c r="H60" i="4"/>
  <c r="I60" i="4"/>
  <c r="J60" i="4"/>
  <c r="L60" i="4"/>
  <c r="M60" i="4"/>
  <c r="D59" i="4"/>
  <c r="E59" i="4"/>
  <c r="F59" i="4"/>
  <c r="H59" i="4"/>
  <c r="I59" i="4"/>
  <c r="J59" i="4"/>
  <c r="L59" i="4"/>
  <c r="M59" i="4"/>
  <c r="D58" i="4"/>
  <c r="E58" i="4"/>
  <c r="F58" i="4"/>
  <c r="H58" i="4"/>
  <c r="I58" i="4"/>
  <c r="J58" i="4"/>
  <c r="L58" i="4"/>
  <c r="M58" i="4"/>
  <c r="F57" i="4"/>
  <c r="H57" i="4"/>
  <c r="I57" i="4"/>
  <c r="J57" i="4"/>
  <c r="L57" i="4"/>
  <c r="M57" i="4"/>
  <c r="F56" i="4"/>
  <c r="H56" i="4"/>
  <c r="I56" i="4"/>
  <c r="J56" i="4"/>
  <c r="L56" i="4"/>
  <c r="M56" i="4"/>
  <c r="C55" i="4"/>
  <c r="F55" i="4"/>
  <c r="G55" i="4"/>
  <c r="H55" i="4"/>
  <c r="J55" i="4"/>
  <c r="K55" i="4"/>
  <c r="L55" i="4"/>
  <c r="D54" i="4"/>
  <c r="F54" i="4"/>
  <c r="H54" i="4"/>
  <c r="I54" i="4"/>
  <c r="J54" i="4"/>
  <c r="L54" i="4"/>
  <c r="M54" i="4"/>
  <c r="C53" i="4"/>
  <c r="F53" i="4"/>
  <c r="G53" i="4"/>
  <c r="H53" i="4"/>
  <c r="J53" i="4"/>
  <c r="K53" i="4"/>
  <c r="L53" i="4"/>
  <c r="D52" i="4"/>
  <c r="E52" i="4"/>
  <c r="F52" i="4"/>
  <c r="H52" i="4"/>
  <c r="I52" i="4"/>
  <c r="J52" i="4"/>
  <c r="L52" i="4"/>
  <c r="M52" i="4"/>
  <c r="C51" i="4"/>
  <c r="F51" i="4"/>
  <c r="G51" i="4"/>
  <c r="H51" i="4"/>
  <c r="J51" i="4"/>
  <c r="L51" i="4"/>
  <c r="E50" i="4"/>
  <c r="F50" i="4"/>
  <c r="I50" i="4"/>
  <c r="J50" i="4"/>
  <c r="M50" i="4"/>
  <c r="F49" i="4"/>
  <c r="G49" i="4"/>
  <c r="H49" i="4"/>
  <c r="J49" i="4"/>
  <c r="K49" i="4"/>
  <c r="L49" i="4"/>
  <c r="D48" i="4"/>
  <c r="F48" i="4"/>
  <c r="H48" i="4"/>
  <c r="I48" i="4"/>
  <c r="J48" i="4"/>
  <c r="L48" i="4"/>
  <c r="M48" i="4"/>
  <c r="D47" i="4"/>
  <c r="E47" i="4"/>
  <c r="F47" i="4"/>
  <c r="I47" i="4"/>
  <c r="J47" i="4"/>
  <c r="L47" i="4"/>
  <c r="M47" i="4"/>
  <c r="C46" i="4"/>
  <c r="F46" i="4"/>
  <c r="G46" i="4"/>
  <c r="H46" i="4"/>
  <c r="J46" i="4"/>
  <c r="K46" i="4"/>
  <c r="L46" i="4"/>
  <c r="D45" i="4"/>
  <c r="E45" i="4"/>
  <c r="F45" i="4"/>
  <c r="H45" i="4"/>
  <c r="I45" i="4"/>
  <c r="J45" i="4"/>
  <c r="L45" i="4"/>
  <c r="M45" i="4"/>
  <c r="E44" i="4"/>
  <c r="F44" i="4"/>
  <c r="H44" i="4"/>
  <c r="I44" i="4"/>
  <c r="J44" i="4"/>
  <c r="L44" i="4"/>
  <c r="M44" i="4"/>
  <c r="F43" i="4"/>
  <c r="G43" i="4"/>
  <c r="H43" i="4"/>
  <c r="J43" i="4"/>
  <c r="K43" i="4"/>
  <c r="L43" i="4"/>
  <c r="C42" i="4"/>
  <c r="F42" i="4"/>
  <c r="G42" i="4"/>
  <c r="J42" i="4"/>
  <c r="K42" i="4"/>
  <c r="E41" i="4"/>
  <c r="H41" i="4"/>
  <c r="I41" i="4"/>
  <c r="M41" i="4"/>
  <c r="D40" i="4"/>
  <c r="G40" i="4"/>
  <c r="H40" i="4"/>
  <c r="J40" i="4"/>
  <c r="K40" i="4"/>
  <c r="L40" i="4"/>
  <c r="E39" i="4"/>
  <c r="F39" i="4"/>
  <c r="I39" i="4"/>
  <c r="J39" i="4"/>
  <c r="M39" i="4"/>
  <c r="X5" i="33"/>
  <c r="L70" i="4"/>
  <c r="M70" i="4"/>
  <c r="P13" i="4"/>
  <c r="N69" i="4"/>
  <c r="X5" i="30"/>
  <c r="X5" i="31"/>
  <c r="X5" i="32"/>
  <c r="X5" i="13"/>
  <c r="X5" i="3"/>
  <c r="X5" i="6"/>
  <c r="X5" i="7"/>
  <c r="X5" i="8"/>
  <c r="X5" i="9"/>
  <c r="X5" i="10"/>
  <c r="X5" i="11"/>
  <c r="X5" i="12"/>
  <c r="X5" i="14"/>
  <c r="X5" i="15"/>
  <c r="X5" i="16"/>
  <c r="X5" i="17"/>
  <c r="X5" i="18"/>
  <c r="X5" i="19"/>
  <c r="X5" i="20"/>
  <c r="X5" i="21"/>
  <c r="X5" i="22"/>
  <c r="X5" i="23"/>
  <c r="X5" i="24"/>
  <c r="X5" i="25"/>
  <c r="X5" i="26"/>
  <c r="X5" i="27"/>
  <c r="X5" i="28"/>
  <c r="X5" i="29"/>
  <c r="X5" i="2"/>
  <c r="X5" i="5"/>
  <c r="E49" i="4"/>
  <c r="D42" i="4"/>
  <c r="F15" i="32"/>
  <c r="F18" i="32"/>
  <c r="F15" i="31"/>
  <c r="F18" i="31"/>
  <c r="F15" i="30"/>
  <c r="F18" i="30"/>
  <c r="F15" i="29"/>
  <c r="F18" i="29"/>
  <c r="F15" i="28"/>
  <c r="F18" i="28"/>
  <c r="F15" i="27"/>
  <c r="F18" i="27"/>
  <c r="F15" i="26"/>
  <c r="F18" i="26"/>
  <c r="F15" i="25"/>
  <c r="F18" i="25"/>
  <c r="F15" i="24"/>
  <c r="F18" i="24"/>
  <c r="F15" i="23"/>
  <c r="F18" i="23"/>
  <c r="F15" i="22"/>
  <c r="F18" i="22"/>
  <c r="F15" i="21"/>
  <c r="F18" i="21"/>
  <c r="F15" i="20"/>
  <c r="F18" i="20"/>
  <c r="F15" i="19"/>
  <c r="F18" i="19"/>
  <c r="F15" i="18"/>
  <c r="F18" i="18"/>
  <c r="F15" i="17"/>
  <c r="F18" i="17"/>
  <c r="F15" i="16"/>
  <c r="F18" i="16"/>
  <c r="F15" i="15"/>
  <c r="F18" i="15"/>
  <c r="F15" i="14"/>
  <c r="F18" i="14"/>
  <c r="F15" i="13"/>
  <c r="F18" i="13"/>
  <c r="F15" i="12"/>
  <c r="F18" i="12"/>
  <c r="F15" i="11"/>
  <c r="F18" i="11"/>
  <c r="F15" i="10"/>
  <c r="F18" i="10"/>
  <c r="F15" i="9"/>
  <c r="F18" i="9"/>
  <c r="F15" i="8"/>
  <c r="F18" i="8"/>
  <c r="F15" i="7"/>
  <c r="F15" i="6"/>
  <c r="F15" i="5"/>
  <c r="F15" i="3"/>
  <c r="F15" i="2"/>
  <c r="H41" i="32"/>
  <c r="G41" i="32"/>
  <c r="H41" i="31"/>
  <c r="G41" i="31"/>
  <c r="H41" i="30"/>
  <c r="G41" i="30"/>
  <c r="H41" i="29"/>
  <c r="G41" i="29"/>
  <c r="H41" i="28"/>
  <c r="G41" i="28"/>
  <c r="H41" i="27"/>
  <c r="G41" i="27"/>
  <c r="H41" i="26"/>
  <c r="G41" i="26"/>
  <c r="H41" i="25"/>
  <c r="G41" i="25"/>
  <c r="H41" i="24"/>
  <c r="G41" i="24"/>
  <c r="H41" i="23"/>
  <c r="G41" i="23"/>
  <c r="H41" i="22"/>
  <c r="G41" i="22"/>
  <c r="H41" i="21"/>
  <c r="G41" i="21"/>
  <c r="H41" i="20"/>
  <c r="G41" i="20"/>
  <c r="H41" i="19"/>
  <c r="G41" i="19"/>
  <c r="H41" i="18"/>
  <c r="G41" i="18"/>
  <c r="H41" i="17"/>
  <c r="G41" i="17"/>
  <c r="H41" i="16"/>
  <c r="G41" i="16"/>
  <c r="H41" i="15"/>
  <c r="G41" i="15"/>
  <c r="H41" i="14"/>
  <c r="G41" i="14"/>
  <c r="H41" i="13"/>
  <c r="G41" i="13"/>
  <c r="H41" i="12"/>
  <c r="G41" i="12"/>
  <c r="H41" i="11"/>
  <c r="G41" i="11"/>
  <c r="H41" i="10"/>
  <c r="G41" i="10"/>
  <c r="H41" i="9"/>
  <c r="G41" i="9"/>
  <c r="H41" i="8"/>
  <c r="G41" i="8"/>
  <c r="H41" i="7"/>
  <c r="G41" i="7"/>
  <c r="H41" i="6"/>
  <c r="G41" i="6"/>
  <c r="H41" i="5"/>
  <c r="G41" i="5"/>
  <c r="H41" i="3"/>
  <c r="G41" i="3"/>
  <c r="H41" i="2"/>
  <c r="G41" i="2"/>
  <c r="H41" i="1"/>
  <c r="G41" i="1"/>
  <c r="F41" i="1"/>
  <c r="I41" i="1"/>
  <c r="B68" i="4"/>
  <c r="N68" i="4"/>
  <c r="B64" i="4"/>
  <c r="N64" i="4"/>
  <c r="B59" i="4"/>
  <c r="N59" i="4"/>
  <c r="B46" i="4"/>
  <c r="N46" i="4"/>
  <c r="B43" i="4"/>
  <c r="N43" i="4"/>
  <c r="B67" i="4"/>
  <c r="N67" i="4"/>
  <c r="B65" i="4"/>
  <c r="N65" i="4"/>
  <c r="B62" i="4"/>
  <c r="N62" i="4"/>
  <c r="B58" i="4"/>
  <c r="N58" i="4"/>
  <c r="B55" i="4"/>
  <c r="N55" i="4"/>
  <c r="B53" i="4"/>
  <c r="N53" i="4"/>
  <c r="B52" i="4"/>
  <c r="N52" i="4"/>
  <c r="B50" i="4"/>
  <c r="N50" i="4"/>
  <c r="B45" i="4"/>
  <c r="N45" i="4"/>
  <c r="B42" i="4"/>
  <c r="N42" i="4"/>
  <c r="B41" i="4"/>
  <c r="N41" i="4"/>
  <c r="B66" i="4"/>
  <c r="N66" i="4"/>
  <c r="B63" i="4"/>
  <c r="N63" i="4"/>
  <c r="B61" i="4"/>
  <c r="N61" i="4"/>
  <c r="B60" i="4"/>
  <c r="N60" i="4"/>
  <c r="B57" i="4"/>
  <c r="N57" i="4"/>
  <c r="B56" i="4"/>
  <c r="N56" i="4"/>
  <c r="B54" i="4"/>
  <c r="N54" i="4"/>
  <c r="B51" i="4"/>
  <c r="N51" i="4"/>
  <c r="B49" i="4"/>
  <c r="N49" i="4"/>
  <c r="B48" i="4"/>
  <c r="N48" i="4"/>
  <c r="B47" i="4"/>
  <c r="N47" i="4"/>
  <c r="B44" i="4"/>
  <c r="N44" i="4"/>
  <c r="B40" i="4"/>
  <c r="N40" i="4"/>
  <c r="U5" i="1"/>
  <c r="K38" i="4"/>
  <c r="K70" i="4"/>
  <c r="T5" i="1"/>
  <c r="J38" i="4"/>
  <c r="J70" i="4"/>
  <c r="S5" i="1"/>
  <c r="I38" i="4"/>
  <c r="I70" i="4"/>
  <c r="R5" i="1"/>
  <c r="H38" i="4"/>
  <c r="H70" i="4"/>
  <c r="Q5" i="1"/>
  <c r="G38" i="4"/>
  <c r="G70" i="4"/>
  <c r="P5" i="1"/>
  <c r="F38" i="4"/>
  <c r="F70" i="4"/>
  <c r="O5" i="1"/>
  <c r="E38" i="4"/>
  <c r="E70" i="4"/>
  <c r="N5" i="1"/>
  <c r="D38" i="4"/>
  <c r="D70" i="4"/>
  <c r="M5" i="1"/>
  <c r="C38" i="4"/>
  <c r="C70" i="4"/>
  <c r="L5" i="1"/>
  <c r="B38" i="4"/>
  <c r="X5" i="1"/>
  <c r="P12" i="4"/>
  <c r="B39" i="4"/>
  <c r="N39" i="4"/>
  <c r="B70" i="4"/>
  <c r="N38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F18" i="7"/>
  <c r="C7" i="4"/>
  <c r="F18" i="6"/>
  <c r="C6" i="4"/>
  <c r="F18" i="5"/>
  <c r="C5" i="4"/>
  <c r="F18" i="3"/>
  <c r="C4" i="4"/>
  <c r="F18" i="2"/>
  <c r="C3" i="4"/>
  <c r="N70" i="4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F40" i="2"/>
  <c r="I40" i="2"/>
  <c r="F40" i="3"/>
  <c r="I40" i="3"/>
  <c r="F40" i="5"/>
  <c r="I40" i="5"/>
  <c r="F40" i="6"/>
  <c r="I40" i="6"/>
  <c r="F40" i="7"/>
  <c r="I40" i="7"/>
  <c r="F40" i="8"/>
  <c r="I40" i="8"/>
  <c r="F40" i="9"/>
  <c r="I40" i="9"/>
  <c r="F40" i="10"/>
  <c r="I40" i="10"/>
  <c r="F40" i="11"/>
  <c r="I40" i="11"/>
  <c r="F40" i="12"/>
  <c r="I40" i="12"/>
  <c r="F40" i="13"/>
  <c r="I40" i="13"/>
  <c r="F40" i="14"/>
  <c r="I40" i="14"/>
  <c r="F40" i="15"/>
  <c r="I40" i="15"/>
  <c r="F40" i="16"/>
  <c r="I40" i="16"/>
  <c r="F40" i="17"/>
  <c r="I40" i="17"/>
  <c r="F40" i="18"/>
  <c r="I40" i="18"/>
  <c r="F40" i="19"/>
  <c r="I40" i="19"/>
  <c r="F40" i="20"/>
  <c r="I40" i="20"/>
  <c r="F40" i="21"/>
  <c r="I40" i="21"/>
  <c r="F40" i="22"/>
  <c r="I40" i="22"/>
  <c r="F40" i="23"/>
  <c r="I40" i="23"/>
  <c r="F40" i="24"/>
  <c r="I40" i="24"/>
  <c r="F40" i="25"/>
  <c r="I40" i="25"/>
  <c r="F40" i="26"/>
  <c r="I40" i="26"/>
  <c r="F40" i="27"/>
  <c r="I40" i="27"/>
  <c r="F40" i="28"/>
  <c r="I40" i="28"/>
  <c r="F40" i="29"/>
  <c r="I40" i="29"/>
  <c r="F40" i="30"/>
  <c r="I40" i="30"/>
  <c r="F40" i="31"/>
  <c r="I40" i="31"/>
  <c r="I22" i="1"/>
  <c r="F22" i="2"/>
  <c r="F40" i="32"/>
  <c r="I40" i="32"/>
  <c r="F40" i="33"/>
  <c r="I40" i="33"/>
  <c r="F36" i="2"/>
  <c r="I36" i="2"/>
  <c r="F36" i="3"/>
  <c r="I36" i="3"/>
  <c r="F36" i="5"/>
  <c r="I36" i="5"/>
  <c r="F36" i="6"/>
  <c r="I36" i="6"/>
  <c r="F36" i="7"/>
  <c r="I36" i="7"/>
  <c r="F36" i="8"/>
  <c r="I36" i="8"/>
  <c r="F36" i="9"/>
  <c r="I36" i="9"/>
  <c r="F36" i="10"/>
  <c r="I36" i="10"/>
  <c r="F36" i="11"/>
  <c r="I36" i="11"/>
  <c r="F36" i="12"/>
  <c r="I36" i="12"/>
  <c r="F36" i="13"/>
  <c r="I36" i="13"/>
  <c r="F36" i="14"/>
  <c r="I36" i="14"/>
  <c r="F36" i="15"/>
  <c r="I36" i="15"/>
  <c r="F36" i="16"/>
  <c r="I36" i="16"/>
  <c r="F36" i="17"/>
  <c r="I36" i="17"/>
  <c r="F36" i="18"/>
  <c r="I36" i="18"/>
  <c r="F36" i="19"/>
  <c r="I36" i="19"/>
  <c r="F36" i="20"/>
  <c r="I36" i="20"/>
  <c r="F36" i="21"/>
  <c r="I36" i="21"/>
  <c r="F36" i="22"/>
  <c r="I36" i="22"/>
  <c r="F36" i="23"/>
  <c r="I36" i="23"/>
  <c r="F36" i="24"/>
  <c r="I36" i="24"/>
  <c r="F36" i="25"/>
  <c r="I36" i="25"/>
  <c r="F36" i="26"/>
  <c r="I36" i="26"/>
  <c r="F36" i="27"/>
  <c r="I36" i="27"/>
  <c r="F36" i="28"/>
  <c r="I36" i="28"/>
  <c r="F36" i="29"/>
  <c r="I36" i="29"/>
  <c r="F36" i="30"/>
  <c r="I36" i="30"/>
  <c r="F36" i="31"/>
  <c r="I36" i="31"/>
  <c r="F32" i="2"/>
  <c r="I32" i="2"/>
  <c r="F32" i="3"/>
  <c r="I32" i="3"/>
  <c r="F32" i="5"/>
  <c r="I32" i="5"/>
  <c r="F32" i="6"/>
  <c r="I32" i="6"/>
  <c r="F32" i="7"/>
  <c r="I32" i="7"/>
  <c r="F32" i="8"/>
  <c r="I32" i="8"/>
  <c r="F32" i="9"/>
  <c r="I32" i="9"/>
  <c r="F32" i="10"/>
  <c r="I32" i="10"/>
  <c r="F32" i="11"/>
  <c r="I32" i="11"/>
  <c r="F32" i="12"/>
  <c r="I32" i="12"/>
  <c r="F32" i="13"/>
  <c r="I32" i="13"/>
  <c r="F32" i="14"/>
  <c r="I32" i="14"/>
  <c r="F32" i="15"/>
  <c r="I32" i="15"/>
  <c r="F32" i="16"/>
  <c r="I32" i="16"/>
  <c r="F32" i="17"/>
  <c r="I32" i="17"/>
  <c r="F32" i="18"/>
  <c r="I32" i="18"/>
  <c r="F32" i="19"/>
  <c r="I32" i="19"/>
  <c r="F32" i="20"/>
  <c r="I32" i="20"/>
  <c r="F32" i="21"/>
  <c r="I32" i="21"/>
  <c r="F32" i="22"/>
  <c r="I32" i="22"/>
  <c r="F32" i="23"/>
  <c r="I32" i="23"/>
  <c r="F32" i="24"/>
  <c r="I32" i="24"/>
  <c r="F32" i="25"/>
  <c r="I32" i="25"/>
  <c r="F32" i="26"/>
  <c r="I32" i="26"/>
  <c r="F32" i="27"/>
  <c r="I32" i="27"/>
  <c r="F32" i="28"/>
  <c r="I32" i="28"/>
  <c r="F32" i="29"/>
  <c r="I32" i="29"/>
  <c r="F32" i="30"/>
  <c r="I32" i="30"/>
  <c r="F32" i="31"/>
  <c r="I32" i="31"/>
  <c r="F28" i="2"/>
  <c r="I28" i="2"/>
  <c r="F28" i="3"/>
  <c r="I28" i="3"/>
  <c r="F28" i="5"/>
  <c r="I28" i="5"/>
  <c r="F28" i="6"/>
  <c r="I28" i="6"/>
  <c r="F28" i="7"/>
  <c r="I28" i="7"/>
  <c r="F28" i="8"/>
  <c r="I28" i="8"/>
  <c r="F28" i="9"/>
  <c r="I28" i="9"/>
  <c r="F28" i="10"/>
  <c r="I28" i="10"/>
  <c r="F28" i="11"/>
  <c r="I28" i="11"/>
  <c r="F28" i="12"/>
  <c r="I28" i="12"/>
  <c r="F28" i="13"/>
  <c r="I28" i="13"/>
  <c r="F28" i="14"/>
  <c r="I28" i="14"/>
  <c r="F28" i="15"/>
  <c r="I28" i="15"/>
  <c r="F28" i="16"/>
  <c r="I28" i="16"/>
  <c r="F28" i="17"/>
  <c r="I28" i="17"/>
  <c r="F28" i="18"/>
  <c r="I28" i="18"/>
  <c r="F28" i="19"/>
  <c r="I28" i="19"/>
  <c r="F28" i="20"/>
  <c r="I28" i="20"/>
  <c r="F28" i="21"/>
  <c r="I28" i="21"/>
  <c r="F28" i="22"/>
  <c r="I28" i="22"/>
  <c r="F28" i="23"/>
  <c r="I28" i="23"/>
  <c r="F28" i="24"/>
  <c r="I28" i="24"/>
  <c r="F28" i="25"/>
  <c r="I28" i="25"/>
  <c r="F28" i="26"/>
  <c r="I28" i="26"/>
  <c r="F28" i="27"/>
  <c r="I28" i="27"/>
  <c r="F28" i="28"/>
  <c r="I28" i="28"/>
  <c r="F28" i="29"/>
  <c r="I28" i="29"/>
  <c r="F28" i="30"/>
  <c r="I28" i="30"/>
  <c r="F28" i="31"/>
  <c r="I28" i="31"/>
  <c r="F24" i="2"/>
  <c r="I24" i="2"/>
  <c r="F24" i="3"/>
  <c r="I24" i="3"/>
  <c r="F24" i="5"/>
  <c r="I24" i="5"/>
  <c r="F24" i="6"/>
  <c r="I24" i="6"/>
  <c r="F24" i="7"/>
  <c r="I24" i="7"/>
  <c r="F24" i="8"/>
  <c r="I24" i="8"/>
  <c r="F24" i="9"/>
  <c r="I24" i="9"/>
  <c r="F24" i="10"/>
  <c r="I24" i="10"/>
  <c r="F24" i="11"/>
  <c r="I24" i="11"/>
  <c r="F24" i="12"/>
  <c r="I24" i="12"/>
  <c r="F24" i="13"/>
  <c r="I24" i="13"/>
  <c r="F24" i="14"/>
  <c r="I24" i="14"/>
  <c r="F24" i="15"/>
  <c r="I24" i="15"/>
  <c r="F24" i="16"/>
  <c r="I24" i="16"/>
  <c r="F24" i="17"/>
  <c r="I24" i="17"/>
  <c r="F24" i="18"/>
  <c r="I24" i="18"/>
  <c r="F24" i="19"/>
  <c r="I24" i="19"/>
  <c r="F24" i="20"/>
  <c r="I24" i="20"/>
  <c r="F24" i="21"/>
  <c r="I24" i="21"/>
  <c r="F24" i="22"/>
  <c r="I24" i="22"/>
  <c r="F24" i="23"/>
  <c r="I24" i="23"/>
  <c r="F24" i="24"/>
  <c r="I24" i="24"/>
  <c r="F24" i="25"/>
  <c r="I24" i="25"/>
  <c r="F24" i="26"/>
  <c r="I24" i="26"/>
  <c r="F24" i="27"/>
  <c r="I24" i="27"/>
  <c r="F24" i="28"/>
  <c r="I24" i="28"/>
  <c r="F24" i="29"/>
  <c r="I24" i="29"/>
  <c r="F24" i="30"/>
  <c r="I24" i="30"/>
  <c r="F24" i="31"/>
  <c r="I24" i="31"/>
  <c r="F39" i="2"/>
  <c r="I39" i="2"/>
  <c r="F39" i="3"/>
  <c r="I39" i="3"/>
  <c r="F39" i="5"/>
  <c r="I39" i="5"/>
  <c r="F39" i="6"/>
  <c r="I39" i="6"/>
  <c r="F39" i="7"/>
  <c r="I39" i="7"/>
  <c r="F39" i="8"/>
  <c r="I39" i="8"/>
  <c r="F39" i="9"/>
  <c r="I39" i="9"/>
  <c r="F39" i="10"/>
  <c r="I39" i="10"/>
  <c r="F39" i="11"/>
  <c r="I39" i="11"/>
  <c r="F39" i="12"/>
  <c r="I39" i="12"/>
  <c r="F39" i="13"/>
  <c r="I39" i="13"/>
  <c r="F39" i="14"/>
  <c r="I39" i="14"/>
  <c r="F39" i="15"/>
  <c r="I39" i="15"/>
  <c r="F39" i="16"/>
  <c r="I39" i="16"/>
  <c r="F39" i="17"/>
  <c r="I39" i="17"/>
  <c r="F39" i="18"/>
  <c r="I39" i="18"/>
  <c r="F39" i="19"/>
  <c r="I39" i="19"/>
  <c r="F39" i="20"/>
  <c r="I39" i="20"/>
  <c r="F39" i="21"/>
  <c r="I39" i="21"/>
  <c r="F39" i="22"/>
  <c r="I39" i="22"/>
  <c r="F39" i="23"/>
  <c r="I39" i="23"/>
  <c r="F39" i="24"/>
  <c r="I39" i="24"/>
  <c r="F39" i="25"/>
  <c r="I39" i="25"/>
  <c r="F39" i="26"/>
  <c r="I39" i="26"/>
  <c r="F39" i="27"/>
  <c r="I39" i="27"/>
  <c r="F39" i="28"/>
  <c r="I39" i="28"/>
  <c r="F39" i="29"/>
  <c r="I39" i="29"/>
  <c r="F39" i="30"/>
  <c r="I39" i="30"/>
  <c r="F39" i="31"/>
  <c r="I39" i="31"/>
  <c r="F35" i="2"/>
  <c r="I35" i="2"/>
  <c r="F35" i="3"/>
  <c r="I35" i="3"/>
  <c r="F35" i="5"/>
  <c r="I35" i="5"/>
  <c r="F35" i="6"/>
  <c r="I35" i="6"/>
  <c r="F35" i="7"/>
  <c r="I35" i="7"/>
  <c r="F35" i="8"/>
  <c r="I35" i="8"/>
  <c r="F35" i="9"/>
  <c r="I35" i="9"/>
  <c r="F35" i="10"/>
  <c r="I35" i="10"/>
  <c r="F35" i="11"/>
  <c r="I35" i="11"/>
  <c r="F35" i="12"/>
  <c r="I35" i="12"/>
  <c r="F35" i="13"/>
  <c r="I35" i="13"/>
  <c r="F35" i="14"/>
  <c r="I35" i="14"/>
  <c r="F35" i="15"/>
  <c r="I35" i="15"/>
  <c r="F35" i="16"/>
  <c r="I35" i="16"/>
  <c r="F35" i="17"/>
  <c r="I35" i="17"/>
  <c r="F35" i="18"/>
  <c r="I35" i="18"/>
  <c r="F35" i="19"/>
  <c r="I35" i="19"/>
  <c r="F35" i="20"/>
  <c r="I35" i="20"/>
  <c r="F35" i="21"/>
  <c r="I35" i="21"/>
  <c r="F35" i="22"/>
  <c r="I35" i="22"/>
  <c r="F35" i="23"/>
  <c r="I35" i="23"/>
  <c r="F35" i="24"/>
  <c r="I35" i="24"/>
  <c r="F35" i="25"/>
  <c r="I35" i="25"/>
  <c r="F35" i="26"/>
  <c r="I35" i="26"/>
  <c r="F35" i="27"/>
  <c r="I35" i="27"/>
  <c r="F35" i="28"/>
  <c r="I35" i="28"/>
  <c r="F35" i="29"/>
  <c r="I35" i="29"/>
  <c r="F35" i="30"/>
  <c r="I35" i="30"/>
  <c r="F35" i="31"/>
  <c r="I35" i="31"/>
  <c r="F31" i="2"/>
  <c r="I31" i="2"/>
  <c r="F31" i="3"/>
  <c r="I31" i="3"/>
  <c r="F31" i="5"/>
  <c r="I31" i="5"/>
  <c r="F31" i="6"/>
  <c r="I31" i="6"/>
  <c r="F31" i="7"/>
  <c r="I31" i="7"/>
  <c r="F31" i="8"/>
  <c r="I31" i="8"/>
  <c r="F31" i="9"/>
  <c r="I31" i="9"/>
  <c r="F31" i="10"/>
  <c r="I31" i="10"/>
  <c r="F31" i="11"/>
  <c r="I31" i="11"/>
  <c r="F31" i="12"/>
  <c r="I31" i="12"/>
  <c r="F31" i="13"/>
  <c r="I31" i="13"/>
  <c r="F31" i="14"/>
  <c r="I31" i="14"/>
  <c r="F31" i="15"/>
  <c r="I31" i="15"/>
  <c r="F31" i="16"/>
  <c r="I31" i="16"/>
  <c r="F31" i="17"/>
  <c r="I31" i="17"/>
  <c r="F31" i="18"/>
  <c r="I31" i="18"/>
  <c r="F31" i="19"/>
  <c r="I31" i="19"/>
  <c r="F31" i="20"/>
  <c r="I31" i="20"/>
  <c r="F31" i="21"/>
  <c r="I31" i="21"/>
  <c r="F31" i="22"/>
  <c r="I31" i="22"/>
  <c r="F31" i="23"/>
  <c r="I31" i="23"/>
  <c r="F31" i="24"/>
  <c r="I31" i="24"/>
  <c r="F31" i="25"/>
  <c r="I31" i="25"/>
  <c r="F31" i="26"/>
  <c r="I31" i="26"/>
  <c r="F31" i="27"/>
  <c r="I31" i="27"/>
  <c r="F31" i="28"/>
  <c r="I31" i="28"/>
  <c r="F31" i="29"/>
  <c r="I31" i="29"/>
  <c r="F31" i="30"/>
  <c r="I31" i="30"/>
  <c r="F31" i="31"/>
  <c r="I31" i="31"/>
  <c r="F27" i="2"/>
  <c r="I27" i="2"/>
  <c r="F27" i="3"/>
  <c r="I27" i="3"/>
  <c r="F27" i="5"/>
  <c r="I27" i="5"/>
  <c r="F27" i="6"/>
  <c r="I27" i="6"/>
  <c r="F27" i="7"/>
  <c r="I27" i="7"/>
  <c r="F27" i="8"/>
  <c r="I27" i="8"/>
  <c r="F27" i="9"/>
  <c r="I27" i="9"/>
  <c r="F27" i="10"/>
  <c r="I27" i="10"/>
  <c r="F27" i="11"/>
  <c r="I27" i="11"/>
  <c r="F27" i="12"/>
  <c r="I27" i="12"/>
  <c r="F27" i="13"/>
  <c r="I27" i="13"/>
  <c r="F27" i="14"/>
  <c r="I27" i="14"/>
  <c r="F27" i="15"/>
  <c r="I27" i="15"/>
  <c r="F27" i="16"/>
  <c r="I27" i="16"/>
  <c r="F27" i="17"/>
  <c r="I27" i="17"/>
  <c r="F27" i="18"/>
  <c r="I27" i="18"/>
  <c r="F27" i="19"/>
  <c r="I27" i="19"/>
  <c r="F27" i="20"/>
  <c r="I27" i="20"/>
  <c r="F27" i="21"/>
  <c r="I27" i="21"/>
  <c r="F27" i="22"/>
  <c r="I27" i="22"/>
  <c r="F27" i="23"/>
  <c r="I27" i="23"/>
  <c r="F27" i="24"/>
  <c r="I27" i="24"/>
  <c r="F27" i="25"/>
  <c r="I27" i="25"/>
  <c r="F27" i="26"/>
  <c r="I27" i="26"/>
  <c r="F27" i="27"/>
  <c r="I27" i="27"/>
  <c r="F27" i="28"/>
  <c r="I27" i="28"/>
  <c r="F27" i="29"/>
  <c r="I27" i="29"/>
  <c r="F27" i="30"/>
  <c r="I27" i="30"/>
  <c r="F27" i="31"/>
  <c r="I27" i="31"/>
  <c r="F23" i="2"/>
  <c r="I23" i="2"/>
  <c r="F23" i="3"/>
  <c r="I23" i="3"/>
  <c r="F23" i="5"/>
  <c r="I23" i="5"/>
  <c r="F23" i="6"/>
  <c r="I23" i="6"/>
  <c r="F23" i="7"/>
  <c r="I23" i="7"/>
  <c r="F23" i="8"/>
  <c r="I23" i="8"/>
  <c r="F23" i="9"/>
  <c r="I23" i="9"/>
  <c r="F23" i="10"/>
  <c r="I23" i="10"/>
  <c r="F23" i="11"/>
  <c r="I23" i="11"/>
  <c r="F23" i="12"/>
  <c r="I23" i="12"/>
  <c r="F23" i="13"/>
  <c r="I23" i="13"/>
  <c r="F23" i="14"/>
  <c r="I23" i="14"/>
  <c r="F23" i="15"/>
  <c r="I23" i="15"/>
  <c r="F23" i="16"/>
  <c r="I23" i="16"/>
  <c r="F23" i="17"/>
  <c r="I23" i="17"/>
  <c r="F23" i="18"/>
  <c r="I23" i="18"/>
  <c r="F23" i="19"/>
  <c r="I23" i="19"/>
  <c r="F23" i="20"/>
  <c r="I23" i="20"/>
  <c r="F23" i="21"/>
  <c r="I23" i="21"/>
  <c r="F23" i="22"/>
  <c r="I23" i="22"/>
  <c r="F23" i="23"/>
  <c r="I23" i="23"/>
  <c r="F23" i="24"/>
  <c r="I23" i="24"/>
  <c r="F23" i="25"/>
  <c r="I23" i="25"/>
  <c r="F23" i="26"/>
  <c r="I23" i="26"/>
  <c r="F23" i="27"/>
  <c r="I23" i="27"/>
  <c r="F23" i="28"/>
  <c r="I23" i="28"/>
  <c r="F23" i="29"/>
  <c r="I23" i="29"/>
  <c r="F23" i="30"/>
  <c r="I23" i="30"/>
  <c r="F23" i="31"/>
  <c r="I23" i="31"/>
  <c r="F38" i="2"/>
  <c r="I38" i="2"/>
  <c r="F38" i="3"/>
  <c r="I38" i="3"/>
  <c r="F38" i="5"/>
  <c r="I38" i="5"/>
  <c r="F38" i="6"/>
  <c r="I38" i="6"/>
  <c r="F38" i="7"/>
  <c r="I38" i="7"/>
  <c r="F38" i="8"/>
  <c r="I38" i="8"/>
  <c r="F38" i="9"/>
  <c r="I38" i="9"/>
  <c r="F38" i="10"/>
  <c r="I38" i="10"/>
  <c r="F38" i="11"/>
  <c r="I38" i="11"/>
  <c r="F38" i="12"/>
  <c r="I38" i="12"/>
  <c r="F38" i="13"/>
  <c r="I38" i="13"/>
  <c r="F38" i="14"/>
  <c r="I38" i="14"/>
  <c r="F38" i="15"/>
  <c r="I38" i="15"/>
  <c r="F38" i="16"/>
  <c r="I38" i="16"/>
  <c r="F38" i="17"/>
  <c r="I38" i="17"/>
  <c r="F38" i="18"/>
  <c r="I38" i="18"/>
  <c r="F38" i="19"/>
  <c r="I38" i="19"/>
  <c r="F38" i="20"/>
  <c r="I38" i="20"/>
  <c r="F38" i="21"/>
  <c r="I38" i="21"/>
  <c r="F38" i="22"/>
  <c r="I38" i="22"/>
  <c r="F38" i="23"/>
  <c r="I38" i="23"/>
  <c r="F38" i="24"/>
  <c r="I38" i="24"/>
  <c r="F38" i="25"/>
  <c r="I38" i="25"/>
  <c r="F38" i="26"/>
  <c r="I38" i="26"/>
  <c r="F38" i="27"/>
  <c r="I38" i="27"/>
  <c r="F38" i="28"/>
  <c r="I38" i="28"/>
  <c r="F38" i="29"/>
  <c r="I38" i="29"/>
  <c r="F38" i="30"/>
  <c r="I38" i="30"/>
  <c r="F38" i="31"/>
  <c r="I38" i="31"/>
  <c r="F34" i="2"/>
  <c r="I34" i="2"/>
  <c r="F34" i="3"/>
  <c r="I34" i="3"/>
  <c r="F34" i="5"/>
  <c r="I34" i="5"/>
  <c r="F34" i="6"/>
  <c r="I34" i="6"/>
  <c r="F34" i="7"/>
  <c r="I34" i="7"/>
  <c r="F34" i="8"/>
  <c r="I34" i="8"/>
  <c r="F34" i="9"/>
  <c r="I34" i="9"/>
  <c r="F34" i="10"/>
  <c r="I34" i="10"/>
  <c r="F34" i="11"/>
  <c r="I34" i="11"/>
  <c r="F34" i="12"/>
  <c r="I34" i="12"/>
  <c r="F34" i="13"/>
  <c r="I34" i="13"/>
  <c r="F34" i="14"/>
  <c r="I34" i="14"/>
  <c r="F34" i="15"/>
  <c r="I34" i="15"/>
  <c r="F34" i="16"/>
  <c r="I34" i="16"/>
  <c r="F34" i="17"/>
  <c r="I34" i="17"/>
  <c r="F34" i="18"/>
  <c r="I34" i="18"/>
  <c r="F34" i="19"/>
  <c r="I34" i="19"/>
  <c r="F34" i="20"/>
  <c r="I34" i="20"/>
  <c r="F34" i="21"/>
  <c r="I34" i="21"/>
  <c r="F34" i="22"/>
  <c r="I34" i="22"/>
  <c r="F34" i="23"/>
  <c r="I34" i="23"/>
  <c r="F34" i="24"/>
  <c r="I34" i="24"/>
  <c r="F34" i="25"/>
  <c r="I34" i="25"/>
  <c r="F34" i="26"/>
  <c r="I34" i="26"/>
  <c r="F34" i="27"/>
  <c r="I34" i="27"/>
  <c r="F34" i="28"/>
  <c r="I34" i="28"/>
  <c r="F34" i="29"/>
  <c r="I34" i="29"/>
  <c r="F34" i="30"/>
  <c r="I34" i="30"/>
  <c r="F34" i="31"/>
  <c r="I34" i="31"/>
  <c r="F30" i="2"/>
  <c r="I30" i="2"/>
  <c r="F30" i="3"/>
  <c r="I30" i="3"/>
  <c r="F30" i="5"/>
  <c r="I30" i="5"/>
  <c r="F30" i="6"/>
  <c r="I30" i="6"/>
  <c r="F30" i="7"/>
  <c r="I30" i="7"/>
  <c r="F30" i="8"/>
  <c r="I30" i="8"/>
  <c r="F30" i="9"/>
  <c r="I30" i="9"/>
  <c r="F30" i="10"/>
  <c r="I30" i="10"/>
  <c r="F30" i="11"/>
  <c r="I30" i="11"/>
  <c r="F30" i="12"/>
  <c r="I30" i="12"/>
  <c r="F30" i="13"/>
  <c r="I30" i="13"/>
  <c r="F30" i="14"/>
  <c r="I30" i="14"/>
  <c r="F30" i="15"/>
  <c r="I30" i="15"/>
  <c r="F30" i="16"/>
  <c r="I30" i="16"/>
  <c r="F30" i="17"/>
  <c r="I30" i="17"/>
  <c r="F30" i="18"/>
  <c r="I30" i="18"/>
  <c r="F30" i="19"/>
  <c r="I30" i="19"/>
  <c r="F30" i="20"/>
  <c r="I30" i="20"/>
  <c r="F30" i="21"/>
  <c r="I30" i="21"/>
  <c r="F30" i="22"/>
  <c r="I30" i="22"/>
  <c r="F30" i="23"/>
  <c r="I30" i="23"/>
  <c r="F30" i="24"/>
  <c r="I30" i="24"/>
  <c r="F30" i="25"/>
  <c r="I30" i="25"/>
  <c r="F30" i="26"/>
  <c r="I30" i="26"/>
  <c r="F30" i="27"/>
  <c r="I30" i="27"/>
  <c r="F30" i="28"/>
  <c r="I30" i="28"/>
  <c r="F30" i="29"/>
  <c r="I30" i="29"/>
  <c r="F30" i="30"/>
  <c r="I30" i="30"/>
  <c r="F30" i="31"/>
  <c r="I30" i="31"/>
  <c r="F26" i="2"/>
  <c r="I26" i="2"/>
  <c r="F26" i="3"/>
  <c r="I26" i="3"/>
  <c r="F26" i="5"/>
  <c r="I26" i="5"/>
  <c r="F26" i="6"/>
  <c r="I26" i="6"/>
  <c r="F26" i="7"/>
  <c r="I26" i="7"/>
  <c r="F26" i="8"/>
  <c r="I26" i="8"/>
  <c r="F26" i="9"/>
  <c r="I26" i="9"/>
  <c r="F26" i="10"/>
  <c r="I26" i="10"/>
  <c r="F26" i="11"/>
  <c r="I26" i="11"/>
  <c r="F26" i="12"/>
  <c r="I26" i="12"/>
  <c r="F26" i="13"/>
  <c r="I26" i="13"/>
  <c r="F26" i="14"/>
  <c r="I26" i="14"/>
  <c r="F26" i="15"/>
  <c r="I26" i="15"/>
  <c r="F26" i="16"/>
  <c r="I26" i="16"/>
  <c r="F26" i="17"/>
  <c r="I26" i="17"/>
  <c r="F26" i="18"/>
  <c r="I26" i="18"/>
  <c r="F26" i="19"/>
  <c r="I26" i="19"/>
  <c r="F26" i="20"/>
  <c r="I26" i="20"/>
  <c r="F26" i="21"/>
  <c r="I26" i="21"/>
  <c r="F26" i="22"/>
  <c r="I26" i="22"/>
  <c r="F26" i="23"/>
  <c r="I26" i="23"/>
  <c r="F26" i="24"/>
  <c r="I26" i="24"/>
  <c r="F26" i="25"/>
  <c r="I26" i="25"/>
  <c r="F26" i="26"/>
  <c r="I26" i="26"/>
  <c r="F26" i="27"/>
  <c r="I26" i="27"/>
  <c r="F26" i="28"/>
  <c r="I26" i="28"/>
  <c r="F26" i="29"/>
  <c r="I26" i="29"/>
  <c r="F26" i="30"/>
  <c r="I26" i="30"/>
  <c r="F26" i="31"/>
  <c r="I26" i="31"/>
  <c r="F37" i="2"/>
  <c r="I37" i="2"/>
  <c r="F37" i="3"/>
  <c r="I37" i="3"/>
  <c r="F37" i="5"/>
  <c r="I37" i="5"/>
  <c r="F37" i="6"/>
  <c r="I37" i="6"/>
  <c r="F37" i="7"/>
  <c r="I37" i="7"/>
  <c r="F37" i="8"/>
  <c r="I37" i="8"/>
  <c r="F37" i="9"/>
  <c r="I37" i="9"/>
  <c r="F37" i="10"/>
  <c r="I37" i="10"/>
  <c r="F37" i="11"/>
  <c r="I37" i="11"/>
  <c r="F37" i="12"/>
  <c r="I37" i="12"/>
  <c r="F37" i="13"/>
  <c r="I37" i="13"/>
  <c r="F37" i="14"/>
  <c r="I37" i="14"/>
  <c r="F37" i="15"/>
  <c r="I37" i="15"/>
  <c r="F37" i="16"/>
  <c r="I37" i="16"/>
  <c r="F37" i="17"/>
  <c r="I37" i="17"/>
  <c r="F37" i="18"/>
  <c r="I37" i="18"/>
  <c r="F37" i="19"/>
  <c r="I37" i="19"/>
  <c r="F37" i="20"/>
  <c r="I37" i="20"/>
  <c r="F37" i="21"/>
  <c r="I37" i="21"/>
  <c r="F37" i="22"/>
  <c r="I37" i="22"/>
  <c r="F37" i="23"/>
  <c r="I37" i="23"/>
  <c r="F37" i="24"/>
  <c r="I37" i="24"/>
  <c r="F37" i="25"/>
  <c r="I37" i="25"/>
  <c r="F37" i="26"/>
  <c r="I37" i="26"/>
  <c r="F37" i="27"/>
  <c r="I37" i="27"/>
  <c r="F37" i="28"/>
  <c r="I37" i="28"/>
  <c r="F37" i="29"/>
  <c r="I37" i="29"/>
  <c r="F37" i="30"/>
  <c r="I37" i="30"/>
  <c r="F37" i="31"/>
  <c r="I37" i="31"/>
  <c r="F33" i="2"/>
  <c r="I33" i="2"/>
  <c r="F33" i="3"/>
  <c r="I33" i="3"/>
  <c r="F33" i="5"/>
  <c r="I33" i="5"/>
  <c r="F33" i="6"/>
  <c r="I33" i="6"/>
  <c r="F33" i="7"/>
  <c r="I33" i="7"/>
  <c r="F33" i="8"/>
  <c r="I33" i="8"/>
  <c r="F33" i="9"/>
  <c r="I33" i="9"/>
  <c r="F33" i="10"/>
  <c r="I33" i="10"/>
  <c r="F33" i="11"/>
  <c r="I33" i="11"/>
  <c r="F33" i="12"/>
  <c r="I33" i="12"/>
  <c r="F33" i="13"/>
  <c r="I33" i="13"/>
  <c r="F33" i="14"/>
  <c r="I33" i="14"/>
  <c r="F33" i="15"/>
  <c r="I33" i="15"/>
  <c r="F33" i="16"/>
  <c r="I33" i="16"/>
  <c r="F33" i="17"/>
  <c r="I33" i="17"/>
  <c r="F33" i="18"/>
  <c r="I33" i="18"/>
  <c r="F33" i="19"/>
  <c r="I33" i="19"/>
  <c r="F33" i="20"/>
  <c r="I33" i="20"/>
  <c r="F33" i="21"/>
  <c r="I33" i="21"/>
  <c r="F33" i="22"/>
  <c r="I33" i="22"/>
  <c r="F33" i="23"/>
  <c r="I33" i="23"/>
  <c r="F33" i="24"/>
  <c r="I33" i="24"/>
  <c r="F33" i="25"/>
  <c r="I33" i="25"/>
  <c r="F33" i="26"/>
  <c r="I33" i="26"/>
  <c r="F33" i="27"/>
  <c r="I33" i="27"/>
  <c r="F33" i="28"/>
  <c r="I33" i="28"/>
  <c r="F33" i="29"/>
  <c r="I33" i="29"/>
  <c r="F33" i="30"/>
  <c r="I33" i="30"/>
  <c r="F33" i="31"/>
  <c r="I33" i="31"/>
  <c r="F29" i="2"/>
  <c r="I29" i="2"/>
  <c r="F29" i="3"/>
  <c r="I29" i="3"/>
  <c r="F29" i="5"/>
  <c r="I29" i="5"/>
  <c r="F29" i="6"/>
  <c r="I29" i="6"/>
  <c r="F29" i="7"/>
  <c r="I29" i="7"/>
  <c r="F29" i="8"/>
  <c r="I29" i="8"/>
  <c r="F29" i="9"/>
  <c r="I29" i="9"/>
  <c r="F29" i="10"/>
  <c r="I29" i="10"/>
  <c r="F29" i="11"/>
  <c r="I29" i="11"/>
  <c r="F29" i="12"/>
  <c r="I29" i="12"/>
  <c r="F29" i="13"/>
  <c r="I29" i="13"/>
  <c r="F29" i="14"/>
  <c r="I29" i="14"/>
  <c r="F29" i="15"/>
  <c r="I29" i="15"/>
  <c r="F29" i="16"/>
  <c r="I29" i="16"/>
  <c r="F29" i="17"/>
  <c r="I29" i="17"/>
  <c r="F29" i="18"/>
  <c r="I29" i="18"/>
  <c r="F29" i="19"/>
  <c r="I29" i="19"/>
  <c r="F29" i="20"/>
  <c r="I29" i="20"/>
  <c r="F29" i="21"/>
  <c r="I29" i="21"/>
  <c r="F29" i="22"/>
  <c r="I29" i="22"/>
  <c r="F29" i="23"/>
  <c r="I29" i="23"/>
  <c r="F29" i="24"/>
  <c r="I29" i="24"/>
  <c r="F29" i="25"/>
  <c r="I29" i="25"/>
  <c r="F29" i="26"/>
  <c r="I29" i="26"/>
  <c r="F29" i="27"/>
  <c r="I29" i="27"/>
  <c r="F29" i="28"/>
  <c r="I29" i="28"/>
  <c r="F29" i="29"/>
  <c r="I29" i="29"/>
  <c r="F29" i="30"/>
  <c r="I29" i="30"/>
  <c r="F29" i="31"/>
  <c r="I29" i="31"/>
  <c r="F25" i="2"/>
  <c r="I25" i="2"/>
  <c r="F25" i="3"/>
  <c r="I25" i="3"/>
  <c r="F25" i="5"/>
  <c r="I25" i="5"/>
  <c r="F25" i="6"/>
  <c r="I25" i="6"/>
  <c r="F25" i="7"/>
  <c r="I25" i="7"/>
  <c r="F25" i="8"/>
  <c r="I25" i="8"/>
  <c r="F25" i="9"/>
  <c r="I25" i="9"/>
  <c r="F25" i="10"/>
  <c r="I25" i="10"/>
  <c r="F25" i="11"/>
  <c r="I25" i="11"/>
  <c r="F25" i="12"/>
  <c r="I25" i="12"/>
  <c r="F25" i="13"/>
  <c r="I25" i="13"/>
  <c r="F25" i="14"/>
  <c r="I25" i="14"/>
  <c r="F25" i="15"/>
  <c r="I25" i="15"/>
  <c r="F25" i="16"/>
  <c r="I25" i="16"/>
  <c r="F25" i="17"/>
  <c r="I25" i="17"/>
  <c r="F25" i="18"/>
  <c r="I25" i="18"/>
  <c r="F25" i="19"/>
  <c r="I25" i="19"/>
  <c r="F25" i="20"/>
  <c r="I25" i="20"/>
  <c r="F25" i="21"/>
  <c r="I25" i="21"/>
  <c r="F25" i="22"/>
  <c r="I25" i="22"/>
  <c r="F25" i="23"/>
  <c r="I25" i="23"/>
  <c r="F25" i="24"/>
  <c r="I25" i="24"/>
  <c r="F25" i="25"/>
  <c r="I25" i="25"/>
  <c r="F25" i="26"/>
  <c r="I25" i="26"/>
  <c r="F25" i="27"/>
  <c r="I25" i="27"/>
  <c r="F25" i="28"/>
  <c r="I25" i="28"/>
  <c r="F25" i="29"/>
  <c r="I25" i="29"/>
  <c r="F25" i="30"/>
  <c r="I25" i="30"/>
  <c r="F25" i="31"/>
  <c r="I25" i="31"/>
  <c r="I22" i="2"/>
  <c r="F22" i="3"/>
  <c r="C30" i="32"/>
  <c r="H18" i="32"/>
  <c r="E32" i="4"/>
  <c r="C30" i="31"/>
  <c r="H18" i="31"/>
  <c r="E31" i="4"/>
  <c r="C30" i="30"/>
  <c r="H18" i="30"/>
  <c r="E30" i="4"/>
  <c r="C30" i="29"/>
  <c r="H18" i="29"/>
  <c r="E29" i="4"/>
  <c r="C30" i="28"/>
  <c r="H18" i="28"/>
  <c r="E28" i="4"/>
  <c r="C30" i="27"/>
  <c r="H18" i="27"/>
  <c r="E27" i="4"/>
  <c r="C30" i="26"/>
  <c r="H18" i="26"/>
  <c r="E26" i="4"/>
  <c r="C30" i="25"/>
  <c r="H18" i="25"/>
  <c r="E25" i="4"/>
  <c r="C30" i="24"/>
  <c r="H18" i="24"/>
  <c r="E24" i="4"/>
  <c r="C30" i="23"/>
  <c r="H18" i="23"/>
  <c r="E23" i="4"/>
  <c r="C30" i="22"/>
  <c r="H18" i="22"/>
  <c r="E22" i="4"/>
  <c r="C30" i="21"/>
  <c r="H18" i="21"/>
  <c r="E21" i="4"/>
  <c r="C30" i="20"/>
  <c r="H18" i="20"/>
  <c r="E20" i="4"/>
  <c r="C30" i="19"/>
  <c r="H18" i="19"/>
  <c r="E19" i="4"/>
  <c r="C30" i="18"/>
  <c r="H18" i="18"/>
  <c r="E18" i="4"/>
  <c r="C30" i="17"/>
  <c r="H18" i="17"/>
  <c r="E17" i="4"/>
  <c r="C30" i="16"/>
  <c r="H18" i="16"/>
  <c r="E16" i="4"/>
  <c r="C30" i="15"/>
  <c r="H18" i="15"/>
  <c r="E15" i="4"/>
  <c r="C30" i="14"/>
  <c r="H18" i="14"/>
  <c r="E14" i="4"/>
  <c r="C30" i="13"/>
  <c r="H18" i="13"/>
  <c r="E13" i="4"/>
  <c r="C30" i="12"/>
  <c r="H18" i="12"/>
  <c r="E12" i="4"/>
  <c r="C30" i="11"/>
  <c r="H18" i="11"/>
  <c r="E11" i="4"/>
  <c r="C30" i="10"/>
  <c r="H18" i="10"/>
  <c r="E10" i="4"/>
  <c r="C30" i="9"/>
  <c r="H18" i="9"/>
  <c r="E9" i="4"/>
  <c r="C30" i="8"/>
  <c r="H18" i="8"/>
  <c r="E8" i="4"/>
  <c r="C30" i="7"/>
  <c r="H18" i="7"/>
  <c r="E7" i="4"/>
  <c r="C30" i="6"/>
  <c r="H18" i="6"/>
  <c r="E6" i="4"/>
  <c r="C30" i="5"/>
  <c r="H18" i="5"/>
  <c r="E5" i="4"/>
  <c r="C30" i="3"/>
  <c r="H18" i="3"/>
  <c r="E4" i="4"/>
  <c r="C30" i="1"/>
  <c r="H18" i="1"/>
  <c r="E2" i="4"/>
  <c r="I15" i="1"/>
  <c r="F15" i="1"/>
  <c r="F18" i="1"/>
  <c r="F26" i="32"/>
  <c r="I26" i="32"/>
  <c r="F26" i="33"/>
  <c r="I26" i="33"/>
  <c r="F37" i="32"/>
  <c r="I37" i="32"/>
  <c r="F37" i="33"/>
  <c r="I37" i="33"/>
  <c r="F38" i="32"/>
  <c r="I38" i="32"/>
  <c r="F38" i="33"/>
  <c r="I38" i="33"/>
  <c r="F35" i="32"/>
  <c r="I35" i="32"/>
  <c r="F35" i="33"/>
  <c r="I35" i="33"/>
  <c r="F32" i="32"/>
  <c r="I32" i="32"/>
  <c r="F32" i="33"/>
  <c r="I32" i="33"/>
  <c r="F23" i="32"/>
  <c r="I23" i="32"/>
  <c r="F23" i="33"/>
  <c r="I23" i="33"/>
  <c r="F39" i="32"/>
  <c r="I39" i="32"/>
  <c r="F39" i="33"/>
  <c r="I39" i="33"/>
  <c r="F36" i="32"/>
  <c r="I36" i="32"/>
  <c r="F36" i="33"/>
  <c r="I36" i="33"/>
  <c r="F25" i="32"/>
  <c r="I25" i="32"/>
  <c r="F25" i="33"/>
  <c r="I25" i="33"/>
  <c r="F30" i="32"/>
  <c r="I30" i="32"/>
  <c r="F30" i="33"/>
  <c r="I30" i="33"/>
  <c r="F27" i="32"/>
  <c r="I27" i="32"/>
  <c r="F27" i="33"/>
  <c r="I27" i="33"/>
  <c r="F24" i="32"/>
  <c r="I24" i="32"/>
  <c r="F24" i="33"/>
  <c r="I24" i="33"/>
  <c r="F29" i="32"/>
  <c r="I29" i="32"/>
  <c r="F29" i="33"/>
  <c r="I29" i="33"/>
  <c r="F33" i="32"/>
  <c r="I33" i="32"/>
  <c r="F33" i="33"/>
  <c r="I33" i="33"/>
  <c r="F34" i="32"/>
  <c r="I34" i="32"/>
  <c r="F34" i="33"/>
  <c r="I34" i="33"/>
  <c r="F31" i="32"/>
  <c r="I31" i="32"/>
  <c r="F31" i="33"/>
  <c r="I31" i="33"/>
  <c r="F28" i="32"/>
  <c r="I28" i="32"/>
  <c r="F28" i="33"/>
  <c r="I28" i="33"/>
  <c r="I3" i="2"/>
  <c r="I15" i="2"/>
  <c r="I3" i="3"/>
  <c r="I15" i="3"/>
  <c r="I3" i="5"/>
  <c r="I15" i="5"/>
  <c r="I3" i="6"/>
  <c r="I15" i="6"/>
  <c r="I3" i="7"/>
  <c r="I15" i="7"/>
  <c r="I3" i="8"/>
  <c r="I15" i="8"/>
  <c r="I3" i="9"/>
  <c r="I15" i="9"/>
  <c r="I3" i="10"/>
  <c r="I15" i="10"/>
  <c r="I3" i="11"/>
  <c r="I15" i="11"/>
  <c r="I3" i="12"/>
  <c r="I15" i="12"/>
  <c r="I3" i="13"/>
  <c r="I15" i="13"/>
  <c r="I3" i="14"/>
  <c r="I15" i="14"/>
  <c r="I3" i="15"/>
  <c r="I15" i="15"/>
  <c r="I3" i="16"/>
  <c r="I15" i="16"/>
  <c r="I3" i="17"/>
  <c r="I15" i="17"/>
  <c r="I3" i="18"/>
  <c r="I15" i="18"/>
  <c r="I3" i="19"/>
  <c r="I15" i="19"/>
  <c r="I3" i="20"/>
  <c r="I15" i="20"/>
  <c r="I3" i="21"/>
  <c r="I15" i="21"/>
  <c r="I3" i="22"/>
  <c r="I15" i="22"/>
  <c r="I3" i="23"/>
  <c r="I15" i="23"/>
  <c r="I3" i="24"/>
  <c r="I15" i="24"/>
  <c r="I3" i="25"/>
  <c r="I15" i="25"/>
  <c r="I3" i="26"/>
  <c r="I15" i="26"/>
  <c r="I3" i="27"/>
  <c r="I15" i="27"/>
  <c r="I3" i="28"/>
  <c r="I15" i="28"/>
  <c r="I3" i="29"/>
  <c r="I15" i="29"/>
  <c r="I3" i="30"/>
  <c r="I15" i="30"/>
  <c r="I3" i="31"/>
  <c r="I15" i="31"/>
  <c r="I3" i="32"/>
  <c r="I15" i="32"/>
  <c r="F41" i="2"/>
  <c r="I41" i="2"/>
  <c r="I22" i="3"/>
  <c r="F22" i="5"/>
  <c r="F41" i="3"/>
  <c r="I41" i="3"/>
  <c r="G18" i="1"/>
  <c r="C2" i="4"/>
  <c r="C34" i="4"/>
  <c r="P11" i="4"/>
  <c r="P10" i="4"/>
  <c r="P9" i="4"/>
  <c r="P8" i="4"/>
  <c r="P7" i="4"/>
  <c r="P6" i="4"/>
  <c r="P5" i="4"/>
  <c r="P4" i="4"/>
  <c r="P3" i="4"/>
  <c r="P2" i="4"/>
  <c r="I3" i="33"/>
  <c r="I15" i="33"/>
  <c r="P14" i="4"/>
  <c r="I22" i="5"/>
  <c r="F22" i="6"/>
  <c r="F41" i="5"/>
  <c r="I41" i="5"/>
  <c r="I18" i="1"/>
  <c r="D2" i="4"/>
  <c r="C30" i="2"/>
  <c r="H18" i="2"/>
  <c r="E3" i="4"/>
  <c r="E34" i="4"/>
  <c r="I22" i="6"/>
  <c r="F22" i="7"/>
  <c r="F41" i="6"/>
  <c r="I41" i="6"/>
  <c r="E18" i="2"/>
  <c r="G18" i="2"/>
  <c r="F2" i="4"/>
  <c r="B3" i="4"/>
  <c r="I22" i="7"/>
  <c r="F22" i="8"/>
  <c r="F41" i="7"/>
  <c r="I41" i="7"/>
  <c r="D3" i="4"/>
  <c r="I18" i="2"/>
  <c r="I22" i="8"/>
  <c r="F22" i="9"/>
  <c r="F41" i="8"/>
  <c r="I41" i="8"/>
  <c r="F3" i="4"/>
  <c r="B4" i="4"/>
  <c r="E18" i="3"/>
  <c r="G18" i="3"/>
  <c r="D4" i="4"/>
  <c r="I18" i="3"/>
  <c r="F4" i="4"/>
  <c r="B5" i="4"/>
  <c r="E18" i="5"/>
  <c r="G18" i="5"/>
  <c r="D5" i="4"/>
  <c r="I18" i="5"/>
  <c r="F5" i="4"/>
  <c r="B6" i="4"/>
  <c r="E18" i="6"/>
  <c r="G18" i="6"/>
  <c r="D6" i="4"/>
  <c r="I18" i="6"/>
  <c r="E18" i="7"/>
  <c r="G18" i="7"/>
  <c r="F6" i="4"/>
  <c r="B7" i="4"/>
  <c r="I18" i="7"/>
  <c r="D7" i="4"/>
  <c r="E18" i="8"/>
  <c r="G18" i="8"/>
  <c r="F7" i="4"/>
  <c r="B8" i="4"/>
  <c r="I18" i="8"/>
  <c r="D8" i="4"/>
  <c r="E18" i="9"/>
  <c r="G18" i="9"/>
  <c r="F8" i="4"/>
  <c r="B9" i="4"/>
  <c r="I18" i="9"/>
  <c r="D9" i="4"/>
  <c r="E18" i="10"/>
  <c r="G18" i="10"/>
  <c r="F9" i="4"/>
  <c r="B10" i="4"/>
  <c r="I18" i="10"/>
  <c r="D10" i="4"/>
  <c r="E18" i="11"/>
  <c r="G18" i="11"/>
  <c r="F10" i="4"/>
  <c r="B11" i="4"/>
  <c r="I18" i="11"/>
  <c r="D11" i="4"/>
  <c r="E18" i="12"/>
  <c r="G18" i="12"/>
  <c r="F11" i="4"/>
  <c r="B12" i="4"/>
  <c r="I18" i="12"/>
  <c r="D12" i="4"/>
  <c r="E18" i="13"/>
  <c r="G18" i="13"/>
  <c r="F12" i="4"/>
  <c r="B13" i="4"/>
  <c r="I18" i="13"/>
  <c r="D13" i="4"/>
  <c r="E18" i="14"/>
  <c r="G18" i="14"/>
  <c r="F13" i="4"/>
  <c r="B14" i="4"/>
  <c r="I18" i="14"/>
  <c r="D14" i="4"/>
  <c r="E18" i="15"/>
  <c r="G18" i="15"/>
  <c r="F14" i="4"/>
  <c r="B15" i="4"/>
  <c r="D15" i="4"/>
  <c r="I18" i="15"/>
  <c r="E18" i="16"/>
  <c r="G18" i="16"/>
  <c r="F15" i="4"/>
  <c r="B16" i="4"/>
  <c r="I18" i="16"/>
  <c r="D16" i="4"/>
  <c r="E18" i="17"/>
  <c r="G18" i="17"/>
  <c r="F16" i="4"/>
  <c r="B17" i="4"/>
  <c r="I18" i="17"/>
  <c r="D17" i="4"/>
  <c r="E18" i="18"/>
  <c r="G18" i="18"/>
  <c r="F17" i="4"/>
  <c r="B18" i="4"/>
  <c r="I18" i="18"/>
  <c r="D18" i="4"/>
  <c r="E18" i="19"/>
  <c r="G18" i="19"/>
  <c r="F18" i="4"/>
  <c r="B19" i="4"/>
  <c r="I18" i="19"/>
  <c r="D19" i="4"/>
  <c r="E18" i="20"/>
  <c r="G18" i="20"/>
  <c r="F19" i="4"/>
  <c r="B20" i="4"/>
  <c r="I18" i="20"/>
  <c r="D20" i="4"/>
  <c r="E18" i="21"/>
  <c r="G18" i="21"/>
  <c r="F20" i="4"/>
  <c r="B21" i="4"/>
  <c r="I18" i="21"/>
  <c r="D21" i="4"/>
  <c r="E18" i="22"/>
  <c r="G18" i="22"/>
  <c r="F21" i="4"/>
  <c r="B22" i="4"/>
  <c r="I18" i="22"/>
  <c r="D22" i="4"/>
  <c r="E18" i="23"/>
  <c r="G18" i="23"/>
  <c r="F22" i="4"/>
  <c r="B23" i="4"/>
  <c r="I18" i="23"/>
  <c r="D23" i="4"/>
  <c r="E18" i="24"/>
  <c r="G18" i="24"/>
  <c r="F23" i="4"/>
  <c r="B24" i="4"/>
  <c r="I18" i="24"/>
  <c r="D24" i="4"/>
  <c r="E18" i="25"/>
  <c r="G18" i="25"/>
  <c r="F24" i="4"/>
  <c r="B25" i="4"/>
  <c r="I18" i="25"/>
  <c r="D25" i="4"/>
  <c r="E18" i="26"/>
  <c r="G18" i="26"/>
  <c r="F25" i="4"/>
  <c r="B26" i="4"/>
  <c r="I18" i="26"/>
  <c r="D26" i="4"/>
  <c r="E18" i="27"/>
  <c r="G18" i="27"/>
  <c r="F26" i="4"/>
  <c r="B27" i="4"/>
  <c r="I18" i="27"/>
  <c r="D27" i="4"/>
  <c r="E18" i="28"/>
  <c r="G18" i="28"/>
  <c r="F27" i="4"/>
  <c r="B28" i="4"/>
  <c r="I18" i="28"/>
  <c r="D28" i="4"/>
  <c r="E18" i="29"/>
  <c r="G18" i="29"/>
  <c r="F28" i="4"/>
  <c r="B29" i="4"/>
  <c r="I18" i="29"/>
  <c r="D29" i="4"/>
  <c r="E18" i="30"/>
  <c r="G18" i="30"/>
  <c r="F29" i="4"/>
  <c r="B30" i="4"/>
  <c r="I18" i="30"/>
  <c r="D30" i="4"/>
  <c r="E18" i="31"/>
  <c r="G18" i="31"/>
  <c r="F30" i="4"/>
  <c r="B31" i="4"/>
  <c r="I18" i="31"/>
  <c r="D31" i="4"/>
  <c r="E18" i="32"/>
  <c r="G18" i="32"/>
  <c r="F31" i="4"/>
  <c r="B32" i="4"/>
  <c r="I18" i="32"/>
  <c r="D32" i="4"/>
  <c r="F32" i="4"/>
  <c r="E18" i="33"/>
  <c r="F41" i="9"/>
  <c r="I41" i="9"/>
  <c r="I22" i="9"/>
  <c r="F22" i="10"/>
  <c r="G18" i="33"/>
  <c r="D33" i="4"/>
  <c r="B33" i="4"/>
  <c r="I22" i="10"/>
  <c r="F22" i="11"/>
  <c r="F41" i="10"/>
  <c r="I41" i="10"/>
  <c r="I18" i="33"/>
  <c r="F33" i="4"/>
  <c r="I22" i="11"/>
  <c r="F22" i="12"/>
  <c r="F41" i="11"/>
  <c r="I41" i="11"/>
  <c r="I22" i="12"/>
  <c r="F22" i="13"/>
  <c r="F41" i="12"/>
  <c r="I41" i="12"/>
  <c r="I22" i="13"/>
  <c r="F22" i="14"/>
  <c r="F41" i="13"/>
  <c r="I41" i="13"/>
  <c r="F41" i="14"/>
  <c r="I41" i="14"/>
  <c r="I22" i="14"/>
  <c r="F22" i="15"/>
  <c r="I22" i="15"/>
  <c r="F22" i="16"/>
  <c r="F41" i="15"/>
  <c r="I41" i="15"/>
  <c r="I22" i="16"/>
  <c r="F22" i="17"/>
  <c r="F41" i="16"/>
  <c r="I41" i="16"/>
  <c r="I22" i="17"/>
  <c r="F22" i="18"/>
  <c r="F41" i="17"/>
  <c r="I41" i="17"/>
  <c r="I22" i="18"/>
  <c r="F22" i="19"/>
  <c r="F41" i="18"/>
  <c r="I41" i="18"/>
  <c r="I22" i="19"/>
  <c r="F22" i="20"/>
  <c r="F41" i="19"/>
  <c r="I41" i="19"/>
  <c r="I22" i="20"/>
  <c r="F22" i="21"/>
  <c r="F41" i="20"/>
  <c r="I41" i="20"/>
  <c r="I22" i="21"/>
  <c r="F22" i="22"/>
  <c r="F41" i="21"/>
  <c r="I41" i="21"/>
  <c r="I22" i="22"/>
  <c r="F22" i="23"/>
  <c r="F41" i="22"/>
  <c r="I41" i="22"/>
  <c r="I22" i="23"/>
  <c r="F22" i="24"/>
  <c r="F41" i="23"/>
  <c r="I41" i="23"/>
  <c r="I22" i="24"/>
  <c r="F22" i="25"/>
  <c r="F41" i="24"/>
  <c r="I41" i="24"/>
  <c r="I22" i="25"/>
  <c r="F22" i="26"/>
  <c r="F41" i="25"/>
  <c r="I41" i="25"/>
  <c r="I22" i="26"/>
  <c r="F22" i="27"/>
  <c r="F41" i="26"/>
  <c r="I41" i="26"/>
  <c r="I22" i="27"/>
  <c r="F22" i="28"/>
  <c r="F41" i="27"/>
  <c r="I41" i="27"/>
  <c r="I22" i="28"/>
  <c r="F22" i="29"/>
  <c r="F41" i="28"/>
  <c r="I41" i="28"/>
  <c r="I22" i="29"/>
  <c r="F22" i="30"/>
  <c r="F41" i="29"/>
  <c r="I41" i="29"/>
  <c r="I22" i="30"/>
  <c r="F22" i="31"/>
  <c r="F41" i="30"/>
  <c r="I41" i="30"/>
  <c r="I22" i="31"/>
  <c r="F41" i="31"/>
  <c r="I41" i="31"/>
  <c r="F22" i="32"/>
  <c r="F22" i="33"/>
  <c r="I22" i="32"/>
  <c r="F41" i="32"/>
  <c r="I41" i="32"/>
  <c r="F41" i="33"/>
  <c r="I41" i="33"/>
  <c r="I22" i="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2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BILL 03006900002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<sst xmlns="http://schemas.openxmlformats.org/spreadsheetml/2006/main" count="1610" uniqueCount="58">
  <si>
    <t>Date</t>
  </si>
  <si>
    <t>Name</t>
  </si>
  <si>
    <t>Amount</t>
  </si>
  <si>
    <t>Total</t>
  </si>
  <si>
    <t>Expense</t>
  </si>
  <si>
    <t>Return</t>
  </si>
  <si>
    <t>Opening Balance</t>
  </si>
  <si>
    <t>Franchise Owner</t>
  </si>
  <si>
    <t>Issue Balance</t>
  </si>
  <si>
    <t>Description</t>
  </si>
  <si>
    <t>TOTAL</t>
  </si>
  <si>
    <t>Credit</t>
  </si>
  <si>
    <t>Opening</t>
  </si>
  <si>
    <t>Today</t>
  </si>
  <si>
    <t>Receive</t>
  </si>
  <si>
    <t>Balance</t>
  </si>
  <si>
    <t>Efics MFS</t>
  </si>
  <si>
    <t>Franchise IMSI</t>
  </si>
  <si>
    <t>SIM Commission</t>
  </si>
  <si>
    <t>Retail IMSI</t>
  </si>
  <si>
    <t>GST Comm</t>
  </si>
  <si>
    <t>Other</t>
  </si>
  <si>
    <t>Commissions</t>
  </si>
  <si>
    <t>EXPENSES</t>
  </si>
  <si>
    <t>Efics BILL</t>
  </si>
  <si>
    <t>Tax Claim Rebate</t>
  </si>
  <si>
    <t>MNP Comm</t>
  </si>
  <si>
    <t>Jazz Load</t>
  </si>
  <si>
    <t>Jazz Cash</t>
  </si>
  <si>
    <t>Efics Bill</t>
  </si>
  <si>
    <t>MNP</t>
  </si>
  <si>
    <t>Tax Rebate</t>
  </si>
  <si>
    <t>Opening Bal</t>
  </si>
  <si>
    <t>ALI OLAKH</t>
  </si>
  <si>
    <t>FINAL</t>
  </si>
  <si>
    <t xml:space="preserve">Usman cheema </t>
  </si>
  <si>
    <t>ZEESHAN OFFICES</t>
  </si>
  <si>
    <t>IMRAN OLAKH</t>
  </si>
  <si>
    <t xml:space="preserve">NAVEED DO </t>
  </si>
  <si>
    <t>SEHAR CCR</t>
  </si>
  <si>
    <t>Qurat ul Anny</t>
  </si>
  <si>
    <t>SARAM CCR</t>
  </si>
  <si>
    <t>TATAS CCR</t>
  </si>
  <si>
    <t>AKHTAR</t>
  </si>
  <si>
    <t xml:space="preserve">AKHTAR </t>
  </si>
  <si>
    <t>ABID</t>
  </si>
  <si>
    <t>TETAS</t>
  </si>
  <si>
    <t>SEHAR</t>
  </si>
  <si>
    <t>SARAM</t>
  </si>
  <si>
    <t>ARSLAN DO</t>
  </si>
  <si>
    <t>POSPAID IMSI February ( 20*390</t>
  </si>
  <si>
    <t>irfan DO</t>
  </si>
  <si>
    <t>Naveed DO</t>
  </si>
  <si>
    <t>Salary March-2026</t>
  </si>
  <si>
    <t xml:space="preserve">Akhtar </t>
  </si>
  <si>
    <t>CASH</t>
  </si>
  <si>
    <t xml:space="preserve">CHAY+BIST+WATER ( FAWAD SB </t>
  </si>
  <si>
    <t xml:space="preserve">COFFEE ( FAWAD SB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</si>
</sst>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1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2">
    <xf numFmtId="0" fontId="0" fillId="0" borderId="0" xfId="0"/>
    <xf numFmtId="0" fontId="0" fillId="2" borderId="0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3" borderId="19" xfId="0" applyFont="1" applyFill="1" applyBorder="1" applyAlignment="1">
      <alignment horizontal="center"/>
    </xf>
    <xf numFmtId="0" fontId="3" fillId="3" borderId="21" xfId="0" applyFont="1" applyFill="1" applyBorder="1" applyAlignment="1"/>
    <xf numFmtId="0" fontId="3" fillId="3" borderId="22" xfId="0" applyFont="1" applyFill="1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0" fillId="2" borderId="23" xfId="0" applyFill="1" applyBorder="1" applyAlignment="1"/>
    <xf numFmtId="0" fontId="0" fillId="2" borderId="24" xfId="0" applyFill="1" applyBorder="1" applyAlignment="1">
      <alignment horizontal="center"/>
    </xf>
    <xf numFmtId="0" fontId="0" fillId="2" borderId="10" xfId="0" applyFill="1" applyBorder="1" applyAlignment="1"/>
    <xf numFmtId="0" fontId="0" fillId="2" borderId="10" xfId="0" applyFont="1" applyFill="1" applyBorder="1" applyAlignment="1"/>
    <xf numFmtId="0" fontId="0" fillId="2" borderId="0" xfId="0" applyFill="1"/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0" fillId="2" borderId="27" xfId="0" applyFill="1" applyBorder="1" applyAlignment="1">
      <alignment horizontal="center"/>
    </xf>
    <xf numFmtId="0" fontId="3" fillId="3" borderId="18" xfId="0" applyFont="1" applyFill="1" applyBorder="1" applyAlignment="1">
      <alignment horizontal="center"/>
    </xf>
    <xf numFmtId="0" fontId="4" fillId="3" borderId="18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0" fillId="2" borderId="0" xfId="0" applyFont="1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3" fillId="3" borderId="22" xfId="0" applyFont="1" applyFill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" borderId="0" xfId="0" applyFont="1" applyFill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3" borderId="19" xfId="0" applyFont="1" applyFill="1" applyBorder="1" applyAlignment="1">
      <alignment horizontal="center" vertical="center"/>
    </xf>
    <xf numFmtId="164" fontId="0" fillId="2" borderId="6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/>
    </xf>
    <xf numFmtId="0" fontId="5" fillId="2" borderId="3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0" fillId="2" borderId="8" xfId="0" applyFont="1" applyFill="1" applyBorder="1" applyAlignment="1">
      <alignment horizontal="center" vertical="center"/>
    </xf>
    <xf numFmtId="15" fontId="1" fillId="4" borderId="23" xfId="0" applyNumberFormat="1" applyFont="1" applyFill="1" applyBorder="1" applyAlignment="1">
      <alignment horizontal="center"/>
    </xf>
    <xf numFmtId="15" fontId="1" fillId="4" borderId="10" xfId="0" applyNumberFormat="1" applyFont="1" applyFill="1" applyBorder="1" applyAlignment="1">
      <alignment horizontal="center"/>
    </xf>
    <xf numFmtId="0" fontId="2" fillId="4" borderId="17" xfId="0" applyFont="1" applyFill="1" applyBorder="1" applyAlignment="1">
      <alignment horizontal="center"/>
    </xf>
    <xf numFmtId="0" fontId="0" fillId="2" borderId="23" xfId="0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2" borderId="34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0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center" vertical="center"/>
    </xf>
    <xf numFmtId="0" fontId="3" fillId="3" borderId="37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3" fillId="3" borderId="36" xfId="0" applyFont="1" applyFill="1" applyBorder="1" applyAlignment="1">
      <alignment horizontal="center"/>
    </xf>
    <xf numFmtId="0" fontId="3" fillId="3" borderId="25" xfId="0" applyFont="1" applyFill="1" applyBorder="1" applyAlignment="1">
      <alignment horizontal="center"/>
    </xf>
    <xf numFmtId="0" fontId="3" fillId="3" borderId="37" xfId="0" applyFont="1" applyFill="1" applyBorder="1" applyAlignment="1">
      <alignment horizontal="center"/>
    </xf>
    <xf numFmtId="164" fontId="0" fillId="2" borderId="8" xfId="0" applyNumberFormat="1" applyFill="1" applyBorder="1" applyAlignment="1">
      <alignment horizontal="center"/>
    </xf>
    <xf numFmtId="164" fontId="0" fillId="2" borderId="7" xfId="0" applyNumberFormat="1" applyFill="1" applyBorder="1" applyAlignment="1">
      <alignment horizontal="center" vertical="center"/>
    </xf>
    <xf numFmtId="164" fontId="0" fillId="2" borderId="8" xfId="0" applyNumberFormat="1" applyFill="1" applyBorder="1" applyAlignment="1">
      <alignment horizontal="center" vertical="center"/>
    </xf>
    <xf numFmtId="0" fontId="0" fillId="2" borderId="4" xfId="0" quotePrefix="1" applyFill="1" applyBorder="1" applyAlignment="1">
      <alignment horizontal="center" vertical="center"/>
    </xf>
    <xf numFmtId="0" fontId="0" fillId="2" borderId="7" xfId="0" quotePrefix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32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164" fontId="2" fillId="4" borderId="29" xfId="0" applyNumberFormat="1" applyFont="1" applyFill="1" applyBorder="1" applyAlignment="1">
      <alignment horizontal="center" vertical="center"/>
    </xf>
    <xf numFmtId="164" fontId="2" fillId="4" borderId="28" xfId="0" applyNumberFormat="1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0" fillId="2" borderId="0" xfId="0" applyFill="1" applyBorder="1"/>
    <xf numFmtId="0" fontId="2" fillId="4" borderId="38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 vertical="center"/>
    </xf>
    <xf numFmtId="0" fontId="0" fillId="4" borderId="6" xfId="0" applyFill="1" applyBorder="1" applyAlignment="1">
      <alignment vertical="center"/>
    </xf>
    <xf numFmtId="0" fontId="0" fillId="4" borderId="8" xfId="0" applyFill="1" applyBorder="1" applyAlignment="1">
      <alignment horizontal="center" vertical="center"/>
    </xf>
    <xf numFmtId="0" fontId="6" fillId="2" borderId="10" xfId="0" applyFont="1" applyFill="1" applyBorder="1" applyAlignment="1"/>
    <xf numFmtId="0" fontId="6" fillId="2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2" fillId="4" borderId="33" xfId="0" applyFont="1" applyFill="1" applyBorder="1" applyAlignment="1">
      <alignment horizontal="center" vertical="center"/>
    </xf>
    <xf numFmtId="164" fontId="2" fillId="4" borderId="2" xfId="0" applyNumberFormat="1" applyFont="1" applyFill="1" applyBorder="1" applyAlignment="1">
      <alignment horizontal="center" vertical="center"/>
    </xf>
    <xf numFmtId="15" fontId="1" fillId="4" borderId="40" xfId="0" applyNumberFormat="1" applyFont="1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2" fillId="4" borderId="31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right"/>
    </xf>
    <xf numFmtId="0" fontId="2" fillId="4" borderId="14" xfId="0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" Type="http://schemas.openxmlformats.org/officeDocument/2006/relationships/worksheet" Target="worksheets/sheet3.xml" /><Relationship Id="rId21" Type="http://schemas.openxmlformats.org/officeDocument/2006/relationships/worksheet" Target="worksheets/sheet21.xml" /><Relationship Id="rId34" Type="http://schemas.openxmlformats.org/officeDocument/2006/relationships/theme" Target="theme/theme1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worksheet" Target="worksheets/sheet33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worksheet" Target="worksheets/sheet20.xml" /><Relationship Id="rId29" Type="http://schemas.openxmlformats.org/officeDocument/2006/relationships/worksheet" Target="worksheets/sheet29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calcChain" Target="calcChain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19" Type="http://schemas.openxmlformats.org/officeDocument/2006/relationships/worksheet" Target="worksheets/sheet19.xml" /><Relationship Id="rId31" Type="http://schemas.openxmlformats.org/officeDocument/2006/relationships/worksheet" Target="worksheets/sheet3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"/>
  <sheetViews>
    <sheetView topLeftCell="E1" zoomScale="90" zoomScaleNormal="90" workbookViewId="0">
      <pane ySplit="1" topLeftCell="E11" activePane="bottomLeft" state="frozen"/>
      <selection activeCell="E1" sqref="E1"/>
      <selection pane="bottomLeft" activeCell="D34" sqref="D34"/>
    </sheetView>
  </sheetViews>
  <sheetFormatPr defaultColWidth="8.7421875" defaultRowHeight="15" x14ac:dyDescent="0.2"/>
  <cols>
    <col min="1" max="1" width="10.89453125" style="2" customWidth="1"/>
    <col min="2" max="2" width="14.2578125" style="23" bestFit="1" customWidth="1"/>
    <col min="3" max="5" width="12.375" style="23" customWidth="1"/>
    <col min="6" max="6" width="14.125" style="23" bestFit="1" customWidth="1"/>
    <col min="7" max="7" width="12.375" style="23" customWidth="1"/>
    <col min="8" max="8" width="12.5078125" style="23" bestFit="1" customWidth="1"/>
    <col min="9" max="13" width="12.375" style="23" customWidth="1"/>
    <col min="14" max="14" width="11.703125" style="23" customWidth="1"/>
    <col min="15" max="16" width="14.66015625" style="23" customWidth="1"/>
    <col min="17" max="16384" width="8.7421875" style="23"/>
  </cols>
  <sheetData>
    <row r="1" spans="1:16" s="24" customFormat="1" ht="18.95" customHeight="1" thickBot="1" x14ac:dyDescent="0.25">
      <c r="A1" s="90" t="s">
        <v>0</v>
      </c>
      <c r="B1" s="90" t="s">
        <v>6</v>
      </c>
      <c r="C1" s="93" t="s">
        <v>8</v>
      </c>
      <c r="D1" s="93" t="s">
        <v>3</v>
      </c>
      <c r="E1" s="93" t="s">
        <v>4</v>
      </c>
      <c r="F1" s="99" t="s">
        <v>5</v>
      </c>
      <c r="G1" s="97"/>
      <c r="O1" s="124" t="s">
        <v>22</v>
      </c>
      <c r="P1" s="125"/>
    </row>
    <row r="2" spans="1:16" x14ac:dyDescent="0.2">
      <c r="A2" s="59">
        <v>44197</v>
      </c>
      <c r="B2" s="26">
        <v>0</v>
      </c>
      <c r="C2" s="26">
        <f>'1'!F18</f>
        <v>11436</v>
      </c>
      <c r="D2" s="26">
        <f>'1'!G18</f>
        <v>11436</v>
      </c>
      <c r="E2" s="26">
        <f>'1'!H18</f>
        <v>19540</v>
      </c>
      <c r="F2" s="4">
        <f>'1'!I18</f>
        <v>-8104</v>
      </c>
      <c r="G2" s="98"/>
      <c r="O2" s="100" t="s">
        <v>27</v>
      </c>
      <c r="P2" s="40">
        <f>B70</f>
        <v>25946</v>
      </c>
    </row>
    <row r="3" spans="1:16" x14ac:dyDescent="0.2">
      <c r="A3" s="60">
        <v>44198</v>
      </c>
      <c r="B3" s="4">
        <f t="shared" ref="B3:B32" si="0">F2</f>
        <v>-8104</v>
      </c>
      <c r="C3" s="4">
        <f>'2'!F18</f>
        <v>0</v>
      </c>
      <c r="D3" s="4">
        <f>'2'!G18</f>
        <v>-8104</v>
      </c>
      <c r="E3" s="4">
        <f>'2'!H18</f>
        <v>0</v>
      </c>
      <c r="F3" s="4">
        <f>'2'!I18</f>
        <v>-8104</v>
      </c>
      <c r="O3" s="100" t="s">
        <v>28</v>
      </c>
      <c r="P3" s="40">
        <f>C70</f>
        <v>0</v>
      </c>
    </row>
    <row r="4" spans="1:16" x14ac:dyDescent="0.2">
      <c r="A4" s="59">
        <v>44199</v>
      </c>
      <c r="B4" s="4">
        <f t="shared" si="0"/>
        <v>-8104</v>
      </c>
      <c r="C4" s="4">
        <f>'3'!F18</f>
        <v>0</v>
      </c>
      <c r="D4" s="4">
        <f>'3'!G18</f>
        <v>-8104</v>
      </c>
      <c r="E4" s="4">
        <f>'3'!H18</f>
        <v>0</v>
      </c>
      <c r="F4" s="4">
        <f>'3'!I18</f>
        <v>-8104</v>
      </c>
      <c r="O4" s="100" t="s">
        <v>16</v>
      </c>
      <c r="P4" s="40">
        <f>D70</f>
        <v>70</v>
      </c>
    </row>
    <row r="5" spans="1:16" x14ac:dyDescent="0.2">
      <c r="A5" s="60">
        <v>44200</v>
      </c>
      <c r="B5" s="4">
        <f t="shared" si="0"/>
        <v>-8104</v>
      </c>
      <c r="C5" s="4">
        <f>'4'!F18</f>
        <v>0</v>
      </c>
      <c r="D5" s="4">
        <f>'4'!G18</f>
        <v>-8104</v>
      </c>
      <c r="E5" s="4">
        <f>'4'!H18</f>
        <v>0</v>
      </c>
      <c r="F5" s="4">
        <f>'4'!I18</f>
        <v>-8104</v>
      </c>
      <c r="O5" s="100" t="s">
        <v>24</v>
      </c>
      <c r="P5" s="40">
        <f>E70</f>
        <v>226</v>
      </c>
    </row>
    <row r="6" spans="1:16" x14ac:dyDescent="0.2">
      <c r="A6" s="59">
        <v>44201</v>
      </c>
      <c r="B6" s="4">
        <f t="shared" si="0"/>
        <v>-8104</v>
      </c>
      <c r="C6" s="4">
        <f>'5'!F18</f>
        <v>0</v>
      </c>
      <c r="D6" s="4">
        <f>'5'!G18</f>
        <v>-8104</v>
      </c>
      <c r="E6" s="4">
        <f>'5'!H18</f>
        <v>0</v>
      </c>
      <c r="F6" s="4">
        <f>'5'!I18</f>
        <v>-8104</v>
      </c>
      <c r="O6" s="100" t="s">
        <v>18</v>
      </c>
      <c r="P6" s="40">
        <f>F70</f>
        <v>0</v>
      </c>
    </row>
    <row r="7" spans="1:16" x14ac:dyDescent="0.2">
      <c r="A7" s="60">
        <v>44202</v>
      </c>
      <c r="B7" s="4">
        <f t="shared" si="0"/>
        <v>-8104</v>
      </c>
      <c r="C7" s="4">
        <f>'6'!F18</f>
        <v>0</v>
      </c>
      <c r="D7" s="4">
        <f>'6'!G18</f>
        <v>-8104</v>
      </c>
      <c r="E7" s="4">
        <f>'6'!H18</f>
        <v>0</v>
      </c>
      <c r="F7" s="4">
        <f>'6'!I18</f>
        <v>-8104</v>
      </c>
      <c r="O7" s="100" t="s">
        <v>19</v>
      </c>
      <c r="P7" s="40">
        <f>G70</f>
        <v>0</v>
      </c>
    </row>
    <row r="8" spans="1:16" x14ac:dyDescent="0.2">
      <c r="A8" s="59">
        <v>44203</v>
      </c>
      <c r="B8" s="4">
        <f t="shared" si="0"/>
        <v>-8104</v>
      </c>
      <c r="C8" s="4">
        <f>'7'!F18</f>
        <v>0</v>
      </c>
      <c r="D8" s="4">
        <f>'7'!G18</f>
        <v>-8104</v>
      </c>
      <c r="E8" s="4">
        <f>'7'!H18</f>
        <v>0</v>
      </c>
      <c r="F8" s="4">
        <f>'7'!I18</f>
        <v>-8104</v>
      </c>
      <c r="O8" s="100" t="s">
        <v>17</v>
      </c>
      <c r="P8" s="40">
        <f>H70</f>
        <v>0</v>
      </c>
    </row>
    <row r="9" spans="1:16" x14ac:dyDescent="0.2">
      <c r="A9" s="60">
        <v>44204</v>
      </c>
      <c r="B9" s="4">
        <f t="shared" si="0"/>
        <v>-8104</v>
      </c>
      <c r="C9" s="4">
        <f>'8'!F18</f>
        <v>0</v>
      </c>
      <c r="D9" s="4">
        <f>'8'!G18</f>
        <v>-8104</v>
      </c>
      <c r="E9" s="4">
        <f>'8'!H18</f>
        <v>0</v>
      </c>
      <c r="F9" s="4">
        <f>'8'!I18</f>
        <v>-8104</v>
      </c>
      <c r="O9" s="100" t="s">
        <v>20</v>
      </c>
      <c r="P9" s="40">
        <f>I70</f>
        <v>0</v>
      </c>
    </row>
    <row r="10" spans="1:16" x14ac:dyDescent="0.2">
      <c r="A10" s="59">
        <v>44205</v>
      </c>
      <c r="B10" s="4">
        <f t="shared" si="0"/>
        <v>-8104</v>
      </c>
      <c r="C10" s="4">
        <f>'9'!F18</f>
        <v>0</v>
      </c>
      <c r="D10" s="4">
        <f>'9'!G18</f>
        <v>-8104</v>
      </c>
      <c r="E10" s="4">
        <f>'9'!H18</f>
        <v>0</v>
      </c>
      <c r="F10" s="4">
        <f>'9'!I18</f>
        <v>-8104</v>
      </c>
      <c r="O10" s="100" t="s">
        <v>25</v>
      </c>
      <c r="P10" s="40">
        <f>J70</f>
        <v>0</v>
      </c>
    </row>
    <row r="11" spans="1:16" x14ac:dyDescent="0.2">
      <c r="A11" s="60">
        <v>44206</v>
      </c>
      <c r="B11" s="4">
        <f t="shared" si="0"/>
        <v>-8104</v>
      </c>
      <c r="C11" s="4">
        <f>'10'!F18</f>
        <v>0</v>
      </c>
      <c r="D11" s="4">
        <f>'10'!G18</f>
        <v>-8104</v>
      </c>
      <c r="E11" s="4">
        <f>'10'!H18</f>
        <v>0</v>
      </c>
      <c r="F11" s="4">
        <f>'10'!I18</f>
        <v>-8104</v>
      </c>
      <c r="O11" s="100" t="s">
        <v>26</v>
      </c>
      <c r="P11" s="40">
        <f>K70</f>
        <v>0</v>
      </c>
    </row>
    <row r="12" spans="1:16" x14ac:dyDescent="0.2">
      <c r="A12" s="59">
        <v>44207</v>
      </c>
      <c r="B12" s="4">
        <f t="shared" si="0"/>
        <v>-8104</v>
      </c>
      <c r="C12" s="4">
        <f>'11'!F18</f>
        <v>0</v>
      </c>
      <c r="D12" s="4">
        <f>'11'!G18</f>
        <v>-8104</v>
      </c>
      <c r="E12" s="4">
        <f>'11'!H18</f>
        <v>0</v>
      </c>
      <c r="F12" s="4">
        <f>'11'!I18</f>
        <v>-8104</v>
      </c>
      <c r="O12" s="100" t="s">
        <v>21</v>
      </c>
      <c r="P12" s="40">
        <f>L70</f>
        <v>0</v>
      </c>
    </row>
    <row r="13" spans="1:16" x14ac:dyDescent="0.2">
      <c r="A13" s="60">
        <v>44208</v>
      </c>
      <c r="B13" s="4">
        <f t="shared" si="0"/>
        <v>-8104</v>
      </c>
      <c r="C13" s="4">
        <f>'12'!F18</f>
        <v>0</v>
      </c>
      <c r="D13" s="4">
        <f>'12'!G18</f>
        <v>-8104</v>
      </c>
      <c r="E13" s="4">
        <f>'12'!H18</f>
        <v>0</v>
      </c>
      <c r="F13" s="4">
        <f>'12'!I18</f>
        <v>-8104</v>
      </c>
      <c r="O13" s="100" t="s">
        <v>21</v>
      </c>
      <c r="P13" s="40">
        <f>M70</f>
        <v>0</v>
      </c>
    </row>
    <row r="14" spans="1:16" ht="15.75" thickBot="1" x14ac:dyDescent="0.25">
      <c r="A14" s="59">
        <v>44209</v>
      </c>
      <c r="B14" s="4">
        <f t="shared" si="0"/>
        <v>-8104</v>
      </c>
      <c r="C14" s="4">
        <f>'13'!F18</f>
        <v>0</v>
      </c>
      <c r="D14" s="4">
        <f>'13'!G18</f>
        <v>-8104</v>
      </c>
      <c r="E14" s="4">
        <f>'13'!H18</f>
        <v>0</v>
      </c>
      <c r="F14" s="4">
        <f>'13'!I18</f>
        <v>-8104</v>
      </c>
      <c r="O14" s="101" t="s">
        <v>10</v>
      </c>
      <c r="P14" s="102">
        <f>SUM(P2:P13)</f>
        <v>26242</v>
      </c>
    </row>
    <row r="15" spans="1:16" x14ac:dyDescent="0.2">
      <c r="A15" s="60">
        <v>44210</v>
      </c>
      <c r="B15" s="4">
        <f t="shared" si="0"/>
        <v>-8104</v>
      </c>
      <c r="C15" s="4">
        <f>'14'!F18</f>
        <v>0</v>
      </c>
      <c r="D15" s="4">
        <f>'14'!G18</f>
        <v>-8104</v>
      </c>
      <c r="E15" s="4">
        <f>'14'!H18</f>
        <v>0</v>
      </c>
      <c r="F15" s="4">
        <f>'14'!I18</f>
        <v>-8104</v>
      </c>
    </row>
    <row r="16" spans="1:16" x14ac:dyDescent="0.2">
      <c r="A16" s="59">
        <v>44211</v>
      </c>
      <c r="B16" s="4">
        <f t="shared" si="0"/>
        <v>-8104</v>
      </c>
      <c r="C16" s="4">
        <f>'15'!F18</f>
        <v>0</v>
      </c>
      <c r="D16" s="4">
        <f>'15'!G18</f>
        <v>-8104</v>
      </c>
      <c r="E16" s="4">
        <f>'15'!H18</f>
        <v>0</v>
      </c>
      <c r="F16" s="4">
        <f>'15'!I18</f>
        <v>-8104</v>
      </c>
    </row>
    <row r="17" spans="1:6" x14ac:dyDescent="0.2">
      <c r="A17" s="60">
        <v>44212</v>
      </c>
      <c r="B17" s="4">
        <f t="shared" si="0"/>
        <v>-8104</v>
      </c>
      <c r="C17" s="4">
        <f>'16'!F18</f>
        <v>0</v>
      </c>
      <c r="D17" s="4">
        <f>'16'!G18</f>
        <v>-8104</v>
      </c>
      <c r="E17" s="4">
        <f>'16'!H18</f>
        <v>0</v>
      </c>
      <c r="F17" s="4">
        <f>'16'!I18</f>
        <v>-8104</v>
      </c>
    </row>
    <row r="18" spans="1:6" x14ac:dyDescent="0.2">
      <c r="A18" s="59">
        <v>44213</v>
      </c>
      <c r="B18" s="4">
        <f t="shared" si="0"/>
        <v>-8104</v>
      </c>
      <c r="C18" s="4">
        <f>'17'!F18</f>
        <v>0</v>
      </c>
      <c r="D18" s="4">
        <f>'17'!G18</f>
        <v>-8104</v>
      </c>
      <c r="E18" s="4">
        <f>'17'!H18</f>
        <v>0</v>
      </c>
      <c r="F18" s="4">
        <f>'17'!I18</f>
        <v>-8104</v>
      </c>
    </row>
    <row r="19" spans="1:6" x14ac:dyDescent="0.2">
      <c r="A19" s="60">
        <v>44214</v>
      </c>
      <c r="B19" s="4">
        <f t="shared" si="0"/>
        <v>-8104</v>
      </c>
      <c r="C19" s="4">
        <f>'18'!F18</f>
        <v>0</v>
      </c>
      <c r="D19" s="4">
        <f>'18'!G18</f>
        <v>-8104</v>
      </c>
      <c r="E19" s="4">
        <f>'18'!H18</f>
        <v>0</v>
      </c>
      <c r="F19" s="4">
        <f>'18'!I18</f>
        <v>-8104</v>
      </c>
    </row>
    <row r="20" spans="1:6" x14ac:dyDescent="0.2">
      <c r="A20" s="59">
        <v>44215</v>
      </c>
      <c r="B20" s="4">
        <f t="shared" si="0"/>
        <v>-8104</v>
      </c>
      <c r="C20" s="4">
        <f>'19'!F18</f>
        <v>0</v>
      </c>
      <c r="D20" s="4">
        <f>'19'!G18</f>
        <v>-8104</v>
      </c>
      <c r="E20" s="4">
        <f>'19'!H18</f>
        <v>0</v>
      </c>
      <c r="F20" s="4">
        <f>'19'!I18</f>
        <v>-8104</v>
      </c>
    </row>
    <row r="21" spans="1:6" x14ac:dyDescent="0.2">
      <c r="A21" s="60">
        <v>44216</v>
      </c>
      <c r="B21" s="4">
        <f t="shared" si="0"/>
        <v>-8104</v>
      </c>
      <c r="C21" s="4">
        <f>'20'!F18</f>
        <v>0</v>
      </c>
      <c r="D21" s="4">
        <f>'20'!G18</f>
        <v>-8104</v>
      </c>
      <c r="E21" s="4">
        <f>'20'!H18</f>
        <v>0</v>
      </c>
      <c r="F21" s="4">
        <f>'20'!I18</f>
        <v>-8104</v>
      </c>
    </row>
    <row r="22" spans="1:6" x14ac:dyDescent="0.2">
      <c r="A22" s="59">
        <v>44217</v>
      </c>
      <c r="B22" s="4">
        <f t="shared" si="0"/>
        <v>-8104</v>
      </c>
      <c r="C22" s="4">
        <f>'21'!F18</f>
        <v>0</v>
      </c>
      <c r="D22" s="4">
        <f>'21'!G18</f>
        <v>-8104</v>
      </c>
      <c r="E22" s="4">
        <f>'21'!H18</f>
        <v>0</v>
      </c>
      <c r="F22" s="4">
        <f>'21'!I18</f>
        <v>-8104</v>
      </c>
    </row>
    <row r="23" spans="1:6" x14ac:dyDescent="0.2">
      <c r="A23" s="60">
        <v>44218</v>
      </c>
      <c r="B23" s="4">
        <f t="shared" si="0"/>
        <v>-8104</v>
      </c>
      <c r="C23" s="4">
        <f>'22'!F18</f>
        <v>0</v>
      </c>
      <c r="D23" s="4">
        <f>'22'!G18</f>
        <v>-8104</v>
      </c>
      <c r="E23" s="4">
        <f>'22'!H18</f>
        <v>0</v>
      </c>
      <c r="F23" s="4">
        <f>'22'!I18</f>
        <v>-8104</v>
      </c>
    </row>
    <row r="24" spans="1:6" x14ac:dyDescent="0.2">
      <c r="A24" s="59">
        <v>44219</v>
      </c>
      <c r="B24" s="4">
        <f t="shared" si="0"/>
        <v>-8104</v>
      </c>
      <c r="C24" s="4">
        <f>'23'!F18</f>
        <v>0</v>
      </c>
      <c r="D24" s="4">
        <f>'23'!G18</f>
        <v>-8104</v>
      </c>
      <c r="E24" s="4">
        <f>'23'!H18</f>
        <v>0</v>
      </c>
      <c r="F24" s="4">
        <f>'23'!I18</f>
        <v>-8104</v>
      </c>
    </row>
    <row r="25" spans="1:6" x14ac:dyDescent="0.2">
      <c r="A25" s="60">
        <v>44220</v>
      </c>
      <c r="B25" s="4">
        <f t="shared" si="0"/>
        <v>-8104</v>
      </c>
      <c r="C25" s="4">
        <f>'24'!F18</f>
        <v>0</v>
      </c>
      <c r="D25" s="4">
        <f>'24'!G18</f>
        <v>-8104</v>
      </c>
      <c r="E25" s="4">
        <f>'24'!H18</f>
        <v>0</v>
      </c>
      <c r="F25" s="4">
        <f>'24'!I18</f>
        <v>-8104</v>
      </c>
    </row>
    <row r="26" spans="1:6" x14ac:dyDescent="0.2">
      <c r="A26" s="59">
        <v>44221</v>
      </c>
      <c r="B26" s="4">
        <f t="shared" si="0"/>
        <v>-8104</v>
      </c>
      <c r="C26" s="4">
        <f>'25'!F18</f>
        <v>0</v>
      </c>
      <c r="D26" s="4">
        <f>'25'!G18</f>
        <v>-8104</v>
      </c>
      <c r="E26" s="4">
        <f>'25'!H18</f>
        <v>0</v>
      </c>
      <c r="F26" s="4">
        <f>'25'!I18</f>
        <v>-8104</v>
      </c>
    </row>
    <row r="27" spans="1:6" x14ac:dyDescent="0.2">
      <c r="A27" s="60">
        <v>44222</v>
      </c>
      <c r="B27" s="4">
        <f t="shared" si="0"/>
        <v>-8104</v>
      </c>
      <c r="C27" s="4">
        <f>'26'!F18</f>
        <v>0</v>
      </c>
      <c r="D27" s="4">
        <f>'26'!G18</f>
        <v>-8104</v>
      </c>
      <c r="E27" s="4">
        <f>'26'!H18</f>
        <v>0</v>
      </c>
      <c r="F27" s="4">
        <f>'26'!I18</f>
        <v>-8104</v>
      </c>
    </row>
    <row r="28" spans="1:6" x14ac:dyDescent="0.2">
      <c r="A28" s="59">
        <v>44223</v>
      </c>
      <c r="B28" s="4">
        <f t="shared" si="0"/>
        <v>-8104</v>
      </c>
      <c r="C28" s="4">
        <f>'27'!F18</f>
        <v>0</v>
      </c>
      <c r="D28" s="4">
        <f>'27'!G18</f>
        <v>-8104</v>
      </c>
      <c r="E28" s="4">
        <f>'27'!H18</f>
        <v>0</v>
      </c>
      <c r="F28" s="4">
        <f>'27'!I18</f>
        <v>-8104</v>
      </c>
    </row>
    <row r="29" spans="1:6" x14ac:dyDescent="0.2">
      <c r="A29" s="60">
        <v>44224</v>
      </c>
      <c r="B29" s="4">
        <f t="shared" si="0"/>
        <v>-8104</v>
      </c>
      <c r="C29" s="4">
        <f>'28'!F18</f>
        <v>0</v>
      </c>
      <c r="D29" s="4">
        <f>'28'!G18</f>
        <v>-8104</v>
      </c>
      <c r="E29" s="4">
        <f>'28'!H18</f>
        <v>0</v>
      </c>
      <c r="F29" s="4">
        <f>'28'!I18</f>
        <v>-8104</v>
      </c>
    </row>
    <row r="30" spans="1:6" x14ac:dyDescent="0.2">
      <c r="A30" s="59">
        <v>44225</v>
      </c>
      <c r="B30" s="4">
        <f t="shared" si="0"/>
        <v>-8104</v>
      </c>
      <c r="C30" s="4">
        <f>'29'!F18</f>
        <v>0</v>
      </c>
      <c r="D30" s="4">
        <f>'29'!G18</f>
        <v>-8104</v>
      </c>
      <c r="E30" s="4">
        <f>'29'!H18</f>
        <v>0</v>
      </c>
      <c r="F30" s="4">
        <f>'29'!I18</f>
        <v>-8104</v>
      </c>
    </row>
    <row r="31" spans="1:6" x14ac:dyDescent="0.2">
      <c r="A31" s="60">
        <v>44226</v>
      </c>
      <c r="B31" s="4">
        <f t="shared" si="0"/>
        <v>-8104</v>
      </c>
      <c r="C31" s="4">
        <f>'30'!F18</f>
        <v>0</v>
      </c>
      <c r="D31" s="4">
        <f>'30'!G18</f>
        <v>-8104</v>
      </c>
      <c r="E31" s="4">
        <f>'30'!H18</f>
        <v>0</v>
      </c>
      <c r="F31" s="4">
        <f>'30'!I18</f>
        <v>-8104</v>
      </c>
    </row>
    <row r="32" spans="1:6" x14ac:dyDescent="0.2">
      <c r="A32" s="59">
        <v>44227</v>
      </c>
      <c r="B32" s="4">
        <f t="shared" si="0"/>
        <v>-8104</v>
      </c>
      <c r="C32" s="4">
        <f>'31'!F18</f>
        <v>0</v>
      </c>
      <c r="D32" s="4">
        <f>'31'!G18</f>
        <v>-8104</v>
      </c>
      <c r="E32" s="4">
        <f>'31'!H18</f>
        <v>0</v>
      </c>
      <c r="F32" s="4">
        <f>'31'!I18</f>
        <v>-8104</v>
      </c>
    </row>
    <row r="33" spans="1:14" ht="15.75" thickBot="1" x14ac:dyDescent="0.25">
      <c r="A33" s="110" t="s">
        <v>34</v>
      </c>
      <c r="B33" s="111">
        <f>FINAL!E18</f>
        <v>-8104</v>
      </c>
      <c r="C33" s="111">
        <f>FINAL!F18</f>
        <v>14806</v>
      </c>
      <c r="D33" s="111">
        <f>FINAL!G18</f>
        <v>6702</v>
      </c>
      <c r="E33" s="111">
        <f>FINAL!H18</f>
        <v>7800</v>
      </c>
      <c r="F33" s="4">
        <f>FINAL!I18</f>
        <v>-1098</v>
      </c>
    </row>
    <row r="34" spans="1:14" ht="15.75" thickBot="1" x14ac:dyDescent="0.25">
      <c r="A34" s="61" t="s">
        <v>10</v>
      </c>
      <c r="B34" s="27">
        <v>0</v>
      </c>
      <c r="C34" s="28">
        <f>SUM(C2:C33)</f>
        <v>26242</v>
      </c>
      <c r="D34" s="27">
        <v>0</v>
      </c>
      <c r="E34" s="28">
        <f>SUM(E2:E33)</f>
        <v>27340</v>
      </c>
      <c r="F34" s="17">
        <v>0</v>
      </c>
    </row>
    <row r="36" spans="1:14" ht="15.75" thickBot="1" x14ac:dyDescent="0.25"/>
    <row r="37" spans="1:14" s="25" customFormat="1" ht="17.649999999999999" customHeight="1" thickBot="1" x14ac:dyDescent="0.25">
      <c r="A37" s="90" t="s">
        <v>0</v>
      </c>
      <c r="B37" s="91" t="s">
        <v>27</v>
      </c>
      <c r="C37" s="91" t="s">
        <v>28</v>
      </c>
      <c r="D37" s="91" t="s">
        <v>16</v>
      </c>
      <c r="E37" s="91" t="s">
        <v>29</v>
      </c>
      <c r="F37" s="91" t="s">
        <v>18</v>
      </c>
      <c r="G37" s="91" t="s">
        <v>19</v>
      </c>
      <c r="H37" s="91" t="s">
        <v>17</v>
      </c>
      <c r="I37" s="92" t="s">
        <v>20</v>
      </c>
      <c r="J37" s="91" t="s">
        <v>31</v>
      </c>
      <c r="K37" s="92" t="s">
        <v>30</v>
      </c>
      <c r="L37" s="92" t="s">
        <v>21</v>
      </c>
      <c r="M37" s="92" t="s">
        <v>21</v>
      </c>
      <c r="N37" s="92" t="s">
        <v>10</v>
      </c>
    </row>
    <row r="38" spans="1:14" ht="15.75" thickBot="1" x14ac:dyDescent="0.25">
      <c r="A38" s="94">
        <v>1</v>
      </c>
      <c r="B38" s="69">
        <f>'1'!L5</f>
        <v>11140</v>
      </c>
      <c r="C38" s="69">
        <f>'1'!M5</f>
        <v>0</v>
      </c>
      <c r="D38" s="69">
        <f>'1'!N5</f>
        <v>70</v>
      </c>
      <c r="E38" s="69">
        <f>'1'!O5</f>
        <v>226</v>
      </c>
      <c r="F38" s="69">
        <f>'1'!P5</f>
        <v>0</v>
      </c>
      <c r="G38" s="69">
        <f>'1'!Q5</f>
        <v>0</v>
      </c>
      <c r="H38" s="69">
        <f>'1'!R5</f>
        <v>0</v>
      </c>
      <c r="I38" s="69">
        <f>'1'!S5</f>
        <v>0</v>
      </c>
      <c r="J38" s="69">
        <f>'1'!T5</f>
        <v>0</v>
      </c>
      <c r="K38" s="69">
        <f>'1'!U5</f>
        <v>0</v>
      </c>
      <c r="L38" s="69">
        <f>'1'!V5</f>
        <v>0</v>
      </c>
      <c r="M38" s="70">
        <f>'1'!W5</f>
        <v>0</v>
      </c>
      <c r="N38" s="71">
        <f>SUM(B38:M38)</f>
        <v>11436</v>
      </c>
    </row>
    <row r="39" spans="1:14" x14ac:dyDescent="0.2">
      <c r="A39" s="95">
        <v>2</v>
      </c>
      <c r="B39" s="69">
        <f>'2'!L5</f>
        <v>0</v>
      </c>
      <c r="C39" s="69">
        <f>'2'!M5</f>
        <v>0</v>
      </c>
      <c r="D39" s="69">
        <f>'2'!N5</f>
        <v>0</v>
      </c>
      <c r="E39" s="69">
        <f>'2'!O5</f>
        <v>0</v>
      </c>
      <c r="F39" s="69">
        <f>'2'!P5</f>
        <v>0</v>
      </c>
      <c r="G39" s="69">
        <f>'2'!Q5</f>
        <v>0</v>
      </c>
      <c r="H39" s="69">
        <f>'2'!R5</f>
        <v>0</v>
      </c>
      <c r="I39" s="69">
        <f>'2'!S5</f>
        <v>0</v>
      </c>
      <c r="J39" s="69">
        <f>'2'!T5</f>
        <v>0</v>
      </c>
      <c r="K39" s="69">
        <f>'2'!U5</f>
        <v>0</v>
      </c>
      <c r="L39" s="69">
        <f>'2'!V5</f>
        <v>0</v>
      </c>
      <c r="M39" s="70">
        <f>'2'!W5</f>
        <v>0</v>
      </c>
      <c r="N39" s="72">
        <f t="shared" ref="N39:N69" si="1">SUM(B39:M39)</f>
        <v>0</v>
      </c>
    </row>
    <row r="40" spans="1:14" x14ac:dyDescent="0.2">
      <c r="A40" s="95">
        <v>3</v>
      </c>
      <c r="B40" s="69">
        <f>'3'!L5</f>
        <v>0</v>
      </c>
      <c r="C40" s="69">
        <f>'3'!M5</f>
        <v>0</v>
      </c>
      <c r="D40" s="69">
        <f>'3'!N5</f>
        <v>0</v>
      </c>
      <c r="E40" s="69">
        <f>'3'!O5</f>
        <v>0</v>
      </c>
      <c r="F40" s="69">
        <f>'3'!P5</f>
        <v>0</v>
      </c>
      <c r="G40" s="69">
        <f>'3'!Q5</f>
        <v>0</v>
      </c>
      <c r="H40" s="69">
        <f>'3'!R5</f>
        <v>0</v>
      </c>
      <c r="I40" s="69">
        <f>'3'!S5</f>
        <v>0</v>
      </c>
      <c r="J40" s="69">
        <f>'3'!T5</f>
        <v>0</v>
      </c>
      <c r="K40" s="69">
        <f>'3'!U5</f>
        <v>0</v>
      </c>
      <c r="L40" s="69">
        <f>'3'!V5</f>
        <v>0</v>
      </c>
      <c r="M40" s="70">
        <f>'3'!W5</f>
        <v>0</v>
      </c>
      <c r="N40" s="72">
        <f t="shared" si="1"/>
        <v>0</v>
      </c>
    </row>
    <row r="41" spans="1:14" x14ac:dyDescent="0.2">
      <c r="A41" s="95">
        <v>4</v>
      </c>
      <c r="B41" s="69">
        <f>'4'!L5</f>
        <v>0</v>
      </c>
      <c r="C41" s="69">
        <f>'4'!M5</f>
        <v>0</v>
      </c>
      <c r="D41" s="69">
        <f>'4'!N5</f>
        <v>0</v>
      </c>
      <c r="E41" s="69">
        <f>'4'!O5</f>
        <v>0</v>
      </c>
      <c r="F41" s="69">
        <f>'4'!P5</f>
        <v>0</v>
      </c>
      <c r="G41" s="69">
        <f>'4'!Q5</f>
        <v>0</v>
      </c>
      <c r="H41" s="69">
        <f>'4'!R5</f>
        <v>0</v>
      </c>
      <c r="I41" s="69">
        <f>'4'!S5</f>
        <v>0</v>
      </c>
      <c r="J41" s="69">
        <f>'4'!T5</f>
        <v>0</v>
      </c>
      <c r="K41" s="69">
        <f>'4'!U5</f>
        <v>0</v>
      </c>
      <c r="L41" s="69">
        <f>'4'!V5</f>
        <v>0</v>
      </c>
      <c r="M41" s="70">
        <f>'4'!W5</f>
        <v>0</v>
      </c>
      <c r="N41" s="72">
        <f t="shared" si="1"/>
        <v>0</v>
      </c>
    </row>
    <row r="42" spans="1:14" x14ac:dyDescent="0.2">
      <c r="A42" s="95">
        <v>5</v>
      </c>
      <c r="B42" s="69">
        <f>'5'!L5</f>
        <v>0</v>
      </c>
      <c r="C42" s="69">
        <f>'5'!M5</f>
        <v>0</v>
      </c>
      <c r="D42" s="69">
        <f>'5'!N5</f>
        <v>0</v>
      </c>
      <c r="E42" s="69">
        <f>'5'!O5</f>
        <v>0</v>
      </c>
      <c r="F42" s="69">
        <f>'5'!P5</f>
        <v>0</v>
      </c>
      <c r="G42" s="69">
        <f>'5'!Q5</f>
        <v>0</v>
      </c>
      <c r="H42" s="69">
        <f>'5'!R5</f>
        <v>0</v>
      </c>
      <c r="I42" s="69">
        <f>'5'!S5</f>
        <v>0</v>
      </c>
      <c r="J42" s="69">
        <f>'5'!T5</f>
        <v>0</v>
      </c>
      <c r="K42" s="69">
        <f>'5'!U5</f>
        <v>0</v>
      </c>
      <c r="L42" s="69">
        <f>'5'!V5</f>
        <v>0</v>
      </c>
      <c r="M42" s="70">
        <f>'5'!W5</f>
        <v>0</v>
      </c>
      <c r="N42" s="72">
        <f t="shared" si="1"/>
        <v>0</v>
      </c>
    </row>
    <row r="43" spans="1:14" x14ac:dyDescent="0.2">
      <c r="A43" s="95">
        <v>6</v>
      </c>
      <c r="B43" s="69">
        <f>'6'!L5</f>
        <v>0</v>
      </c>
      <c r="C43" s="69">
        <f>'6'!M5</f>
        <v>0</v>
      </c>
      <c r="D43" s="69">
        <f>'6'!N5</f>
        <v>0</v>
      </c>
      <c r="E43" s="69">
        <f>'6'!O5</f>
        <v>0</v>
      </c>
      <c r="F43" s="69">
        <f>'6'!P5</f>
        <v>0</v>
      </c>
      <c r="G43" s="69">
        <f>'6'!Q5</f>
        <v>0</v>
      </c>
      <c r="H43" s="69">
        <f>'6'!R5</f>
        <v>0</v>
      </c>
      <c r="I43" s="69">
        <f>'6'!S5</f>
        <v>0</v>
      </c>
      <c r="J43" s="69">
        <f>'6'!T5</f>
        <v>0</v>
      </c>
      <c r="K43" s="69">
        <f>'6'!U5</f>
        <v>0</v>
      </c>
      <c r="L43" s="69">
        <f>'6'!V5</f>
        <v>0</v>
      </c>
      <c r="M43" s="70">
        <f>'6'!W5</f>
        <v>0</v>
      </c>
      <c r="N43" s="72">
        <f t="shared" si="1"/>
        <v>0</v>
      </c>
    </row>
    <row r="44" spans="1:14" x14ac:dyDescent="0.2">
      <c r="A44" s="95">
        <v>7</v>
      </c>
      <c r="B44" s="69">
        <f>'7'!L5</f>
        <v>0</v>
      </c>
      <c r="C44" s="69">
        <f>'7'!M5</f>
        <v>0</v>
      </c>
      <c r="D44" s="69">
        <f>'7'!N5</f>
        <v>0</v>
      </c>
      <c r="E44" s="69">
        <f>'7'!O5</f>
        <v>0</v>
      </c>
      <c r="F44" s="69">
        <f>'7'!P5</f>
        <v>0</v>
      </c>
      <c r="G44" s="69">
        <f>'7'!Q5</f>
        <v>0</v>
      </c>
      <c r="H44" s="69">
        <f>'7'!R5</f>
        <v>0</v>
      </c>
      <c r="I44" s="69">
        <f>'7'!S5</f>
        <v>0</v>
      </c>
      <c r="J44" s="69">
        <f>'7'!T5</f>
        <v>0</v>
      </c>
      <c r="K44" s="69">
        <f>'7'!U5</f>
        <v>0</v>
      </c>
      <c r="L44" s="69">
        <f>'7'!V5</f>
        <v>0</v>
      </c>
      <c r="M44" s="70">
        <f>'7'!W5</f>
        <v>0</v>
      </c>
      <c r="N44" s="72">
        <f t="shared" si="1"/>
        <v>0</v>
      </c>
    </row>
    <row r="45" spans="1:14" x14ac:dyDescent="0.2">
      <c r="A45" s="95">
        <v>8</v>
      </c>
      <c r="B45" s="69">
        <f>'8'!L5</f>
        <v>0</v>
      </c>
      <c r="C45" s="69">
        <f>'8'!M5</f>
        <v>0</v>
      </c>
      <c r="D45" s="69">
        <f>'8'!N5</f>
        <v>0</v>
      </c>
      <c r="E45" s="69">
        <f>'8'!O5</f>
        <v>0</v>
      </c>
      <c r="F45" s="69">
        <f>'8'!P5</f>
        <v>0</v>
      </c>
      <c r="G45" s="69">
        <f>'8'!Q5</f>
        <v>0</v>
      </c>
      <c r="H45" s="69">
        <f>'8'!R5</f>
        <v>0</v>
      </c>
      <c r="I45" s="69">
        <f>'8'!S5</f>
        <v>0</v>
      </c>
      <c r="J45" s="69">
        <f>'8'!T5</f>
        <v>0</v>
      </c>
      <c r="K45" s="69">
        <f>'8'!U5</f>
        <v>0</v>
      </c>
      <c r="L45" s="69">
        <f>'8'!V5</f>
        <v>0</v>
      </c>
      <c r="M45" s="70">
        <f>'8'!W5</f>
        <v>0</v>
      </c>
      <c r="N45" s="72">
        <f t="shared" si="1"/>
        <v>0</v>
      </c>
    </row>
    <row r="46" spans="1:14" x14ac:dyDescent="0.2">
      <c r="A46" s="95">
        <v>9</v>
      </c>
      <c r="B46" s="69">
        <f>'9'!L5</f>
        <v>0</v>
      </c>
      <c r="C46" s="69">
        <f>'9'!M5</f>
        <v>0</v>
      </c>
      <c r="D46" s="69">
        <f>'9'!N5</f>
        <v>0</v>
      </c>
      <c r="E46" s="69">
        <f>'9'!O5</f>
        <v>0</v>
      </c>
      <c r="F46" s="69">
        <f>'9'!P5</f>
        <v>0</v>
      </c>
      <c r="G46" s="69">
        <f>'9'!Q5</f>
        <v>0</v>
      </c>
      <c r="H46" s="69">
        <f>'9'!R5</f>
        <v>0</v>
      </c>
      <c r="I46" s="69">
        <f>'9'!S5</f>
        <v>0</v>
      </c>
      <c r="J46" s="69">
        <f>'9'!T5</f>
        <v>0</v>
      </c>
      <c r="K46" s="69">
        <f>'9'!U5</f>
        <v>0</v>
      </c>
      <c r="L46" s="69">
        <f>'9'!V5</f>
        <v>0</v>
      </c>
      <c r="M46" s="70">
        <f>'9'!W5</f>
        <v>0</v>
      </c>
      <c r="N46" s="72">
        <f t="shared" si="1"/>
        <v>0</v>
      </c>
    </row>
    <row r="47" spans="1:14" x14ac:dyDescent="0.2">
      <c r="A47" s="95">
        <v>10</v>
      </c>
      <c r="B47" s="69">
        <f>'10'!L5</f>
        <v>0</v>
      </c>
      <c r="C47" s="69">
        <f>'10'!M5</f>
        <v>0</v>
      </c>
      <c r="D47" s="69">
        <f>'10'!N5</f>
        <v>0</v>
      </c>
      <c r="E47" s="69">
        <f>'10'!O5</f>
        <v>0</v>
      </c>
      <c r="F47" s="69">
        <f>'10'!P5</f>
        <v>0</v>
      </c>
      <c r="G47" s="69">
        <f>'10'!Q5</f>
        <v>0</v>
      </c>
      <c r="H47" s="69">
        <f>'10'!R5</f>
        <v>0</v>
      </c>
      <c r="I47" s="69">
        <f>'10'!S5</f>
        <v>0</v>
      </c>
      <c r="J47" s="69">
        <f>'10'!T5</f>
        <v>0</v>
      </c>
      <c r="K47" s="69">
        <f>'10'!U5</f>
        <v>0</v>
      </c>
      <c r="L47" s="69">
        <f>'10'!V5</f>
        <v>0</v>
      </c>
      <c r="M47" s="70">
        <f>'10'!W5</f>
        <v>0</v>
      </c>
      <c r="N47" s="72">
        <f t="shared" si="1"/>
        <v>0</v>
      </c>
    </row>
    <row r="48" spans="1:14" x14ac:dyDescent="0.2">
      <c r="A48" s="95">
        <v>11</v>
      </c>
      <c r="B48" s="69">
        <f>'11'!L5</f>
        <v>0</v>
      </c>
      <c r="C48" s="69">
        <f>'11'!M5</f>
        <v>0</v>
      </c>
      <c r="D48" s="69">
        <f>'11'!N5</f>
        <v>0</v>
      </c>
      <c r="E48" s="69">
        <f>'11'!O5</f>
        <v>0</v>
      </c>
      <c r="F48" s="69">
        <f>'11'!P5</f>
        <v>0</v>
      </c>
      <c r="G48" s="69">
        <f>'11'!Q5</f>
        <v>0</v>
      </c>
      <c r="H48" s="69">
        <f>'11'!R5</f>
        <v>0</v>
      </c>
      <c r="I48" s="69">
        <f>'11'!S5</f>
        <v>0</v>
      </c>
      <c r="J48" s="69">
        <f>'11'!T5</f>
        <v>0</v>
      </c>
      <c r="K48" s="69">
        <f>'11'!U5</f>
        <v>0</v>
      </c>
      <c r="L48" s="69">
        <f>'11'!V5</f>
        <v>0</v>
      </c>
      <c r="M48" s="70">
        <f>'11'!W5</f>
        <v>0</v>
      </c>
      <c r="N48" s="72">
        <f t="shared" si="1"/>
        <v>0</v>
      </c>
    </row>
    <row r="49" spans="1:14" x14ac:dyDescent="0.2">
      <c r="A49" s="95">
        <v>12</v>
      </c>
      <c r="B49" s="69">
        <f>'12'!L5</f>
        <v>0</v>
      </c>
      <c r="C49" s="69">
        <f>'12'!M5</f>
        <v>0</v>
      </c>
      <c r="D49" s="69">
        <f>'12'!N5</f>
        <v>0</v>
      </c>
      <c r="E49" s="69">
        <f>'12'!O5</f>
        <v>0</v>
      </c>
      <c r="F49" s="69">
        <f>'12'!P5</f>
        <v>0</v>
      </c>
      <c r="G49" s="69">
        <f>'12'!Q5</f>
        <v>0</v>
      </c>
      <c r="H49" s="69">
        <f>'12'!R5</f>
        <v>0</v>
      </c>
      <c r="I49" s="69">
        <f>'12'!S5</f>
        <v>0</v>
      </c>
      <c r="J49" s="69">
        <f>'12'!T5</f>
        <v>0</v>
      </c>
      <c r="K49" s="69">
        <f>'12'!U5</f>
        <v>0</v>
      </c>
      <c r="L49" s="69">
        <f>'12'!V5</f>
        <v>0</v>
      </c>
      <c r="M49" s="70">
        <f>'12'!W5</f>
        <v>0</v>
      </c>
      <c r="N49" s="72">
        <f t="shared" si="1"/>
        <v>0</v>
      </c>
    </row>
    <row r="50" spans="1:14" x14ac:dyDescent="0.2">
      <c r="A50" s="95">
        <v>13</v>
      </c>
      <c r="B50" s="69">
        <f>'13'!L5</f>
        <v>0</v>
      </c>
      <c r="C50" s="69">
        <f>'13'!M5</f>
        <v>0</v>
      </c>
      <c r="D50" s="69">
        <f>'13'!N5</f>
        <v>0</v>
      </c>
      <c r="E50" s="69">
        <f>'13'!O5</f>
        <v>0</v>
      </c>
      <c r="F50" s="69">
        <f>'13'!P5</f>
        <v>0</v>
      </c>
      <c r="G50" s="69">
        <f>'13'!Q5</f>
        <v>0</v>
      </c>
      <c r="H50" s="69">
        <f>'13'!R5</f>
        <v>0</v>
      </c>
      <c r="I50" s="69">
        <f>'13'!S5</f>
        <v>0</v>
      </c>
      <c r="J50" s="69">
        <f>'13'!T5</f>
        <v>0</v>
      </c>
      <c r="K50" s="69">
        <f>'13'!U5</f>
        <v>0</v>
      </c>
      <c r="L50" s="69">
        <f>'13'!V5</f>
        <v>0</v>
      </c>
      <c r="M50" s="70">
        <f>'13'!W5</f>
        <v>0</v>
      </c>
      <c r="N50" s="72">
        <f t="shared" si="1"/>
        <v>0</v>
      </c>
    </row>
    <row r="51" spans="1:14" x14ac:dyDescent="0.2">
      <c r="A51" s="95">
        <v>14</v>
      </c>
      <c r="B51" s="69">
        <f>'14'!L5</f>
        <v>0</v>
      </c>
      <c r="C51" s="69">
        <f>'14'!M5</f>
        <v>0</v>
      </c>
      <c r="D51" s="69">
        <f>'14'!N5</f>
        <v>0</v>
      </c>
      <c r="E51" s="69">
        <f>'14'!O5</f>
        <v>0</v>
      </c>
      <c r="F51" s="69">
        <f>'14'!P5</f>
        <v>0</v>
      </c>
      <c r="G51" s="69">
        <f>'14'!Q5</f>
        <v>0</v>
      </c>
      <c r="H51" s="69">
        <f>'14'!R5</f>
        <v>0</v>
      </c>
      <c r="I51" s="69">
        <f>'14'!S5</f>
        <v>0</v>
      </c>
      <c r="J51" s="69">
        <f>'14'!T5</f>
        <v>0</v>
      </c>
      <c r="K51" s="69">
        <f>'14'!U5</f>
        <v>0</v>
      </c>
      <c r="L51" s="69">
        <f>'14'!V5</f>
        <v>0</v>
      </c>
      <c r="M51" s="70">
        <f>'14'!W5</f>
        <v>0</v>
      </c>
      <c r="N51" s="72">
        <f t="shared" si="1"/>
        <v>0</v>
      </c>
    </row>
    <row r="52" spans="1:14" x14ac:dyDescent="0.2">
      <c r="A52" s="95">
        <v>15</v>
      </c>
      <c r="B52" s="69">
        <f>'15'!L5</f>
        <v>0</v>
      </c>
      <c r="C52" s="69">
        <f>'15'!M5</f>
        <v>0</v>
      </c>
      <c r="D52" s="69">
        <f>'15'!N5</f>
        <v>0</v>
      </c>
      <c r="E52" s="69">
        <f>'15'!O5</f>
        <v>0</v>
      </c>
      <c r="F52" s="69">
        <f>'15'!P5</f>
        <v>0</v>
      </c>
      <c r="G52" s="69">
        <f>'15'!Q5</f>
        <v>0</v>
      </c>
      <c r="H52" s="69">
        <f>'15'!R5</f>
        <v>0</v>
      </c>
      <c r="I52" s="69">
        <f>'15'!S5</f>
        <v>0</v>
      </c>
      <c r="J52" s="69">
        <f>'15'!T5</f>
        <v>0</v>
      </c>
      <c r="K52" s="69">
        <f>'15'!U5</f>
        <v>0</v>
      </c>
      <c r="L52" s="69">
        <f>'15'!V5</f>
        <v>0</v>
      </c>
      <c r="M52" s="70">
        <f>'15'!W5</f>
        <v>0</v>
      </c>
      <c r="N52" s="72">
        <f t="shared" si="1"/>
        <v>0</v>
      </c>
    </row>
    <row r="53" spans="1:14" x14ac:dyDescent="0.2">
      <c r="A53" s="95">
        <v>16</v>
      </c>
      <c r="B53" s="69">
        <f>'16'!L5</f>
        <v>0</v>
      </c>
      <c r="C53" s="69">
        <f>'16'!M5</f>
        <v>0</v>
      </c>
      <c r="D53" s="69">
        <f>'16'!N5</f>
        <v>0</v>
      </c>
      <c r="E53" s="69">
        <f>'16'!O5</f>
        <v>0</v>
      </c>
      <c r="F53" s="69">
        <f>'16'!P5</f>
        <v>0</v>
      </c>
      <c r="G53" s="69">
        <f>'16'!Q5</f>
        <v>0</v>
      </c>
      <c r="H53" s="69">
        <f>'16'!R5</f>
        <v>0</v>
      </c>
      <c r="I53" s="69">
        <f>'16'!S5</f>
        <v>0</v>
      </c>
      <c r="J53" s="69">
        <f>'16'!T5</f>
        <v>0</v>
      </c>
      <c r="K53" s="69">
        <f>'16'!U5</f>
        <v>0</v>
      </c>
      <c r="L53" s="69">
        <f>'16'!V5</f>
        <v>0</v>
      </c>
      <c r="M53" s="70">
        <f>'16'!W5</f>
        <v>0</v>
      </c>
      <c r="N53" s="72">
        <f t="shared" si="1"/>
        <v>0</v>
      </c>
    </row>
    <row r="54" spans="1:14" x14ac:dyDescent="0.2">
      <c r="A54" s="95">
        <v>17</v>
      </c>
      <c r="B54" s="69">
        <f>'17'!L5</f>
        <v>0</v>
      </c>
      <c r="C54" s="69">
        <f>'17'!M5</f>
        <v>0</v>
      </c>
      <c r="D54" s="69">
        <f>'17'!N5</f>
        <v>0</v>
      </c>
      <c r="E54" s="69">
        <f>'17'!O5</f>
        <v>0</v>
      </c>
      <c r="F54" s="69">
        <f>'17'!P5</f>
        <v>0</v>
      </c>
      <c r="G54" s="69">
        <f>'17'!Q5</f>
        <v>0</v>
      </c>
      <c r="H54" s="69">
        <f>'17'!R5</f>
        <v>0</v>
      </c>
      <c r="I54" s="69">
        <f>'17'!S5</f>
        <v>0</v>
      </c>
      <c r="J54" s="69">
        <f>'17'!T5</f>
        <v>0</v>
      </c>
      <c r="K54" s="69">
        <f>'17'!U5</f>
        <v>0</v>
      </c>
      <c r="L54" s="69">
        <f>'17'!V5</f>
        <v>0</v>
      </c>
      <c r="M54" s="70">
        <f>'17'!W5</f>
        <v>0</v>
      </c>
      <c r="N54" s="72">
        <f t="shared" si="1"/>
        <v>0</v>
      </c>
    </row>
    <row r="55" spans="1:14" x14ac:dyDescent="0.2">
      <c r="A55" s="95">
        <v>18</v>
      </c>
      <c r="B55" s="69">
        <f>'18'!L5</f>
        <v>0</v>
      </c>
      <c r="C55" s="69">
        <f>'18'!M5</f>
        <v>0</v>
      </c>
      <c r="D55" s="69">
        <f>'18'!N5</f>
        <v>0</v>
      </c>
      <c r="E55" s="69">
        <f>'18'!O5</f>
        <v>0</v>
      </c>
      <c r="F55" s="69">
        <f>'18'!P5</f>
        <v>0</v>
      </c>
      <c r="G55" s="69">
        <f>'18'!Q5</f>
        <v>0</v>
      </c>
      <c r="H55" s="69">
        <f>'18'!R5</f>
        <v>0</v>
      </c>
      <c r="I55" s="69">
        <f>'18'!S5</f>
        <v>0</v>
      </c>
      <c r="J55" s="69">
        <f>'18'!T5</f>
        <v>0</v>
      </c>
      <c r="K55" s="69">
        <f>'18'!U5</f>
        <v>0</v>
      </c>
      <c r="L55" s="69">
        <f>'18'!V5</f>
        <v>0</v>
      </c>
      <c r="M55" s="70">
        <f>'18'!W5</f>
        <v>0</v>
      </c>
      <c r="N55" s="72">
        <f t="shared" si="1"/>
        <v>0</v>
      </c>
    </row>
    <row r="56" spans="1:14" x14ac:dyDescent="0.2">
      <c r="A56" s="95">
        <v>19</v>
      </c>
      <c r="B56" s="69">
        <f>'19'!L5</f>
        <v>0</v>
      </c>
      <c r="C56" s="69">
        <f>'19'!M5</f>
        <v>0</v>
      </c>
      <c r="D56" s="69">
        <f>'19'!N5</f>
        <v>0</v>
      </c>
      <c r="E56" s="69">
        <f>'19'!O5</f>
        <v>0</v>
      </c>
      <c r="F56" s="69">
        <f>'19'!P5</f>
        <v>0</v>
      </c>
      <c r="G56" s="69">
        <f>'19'!Q5</f>
        <v>0</v>
      </c>
      <c r="H56" s="69">
        <f>'19'!R5</f>
        <v>0</v>
      </c>
      <c r="I56" s="69">
        <f>'19'!S5</f>
        <v>0</v>
      </c>
      <c r="J56" s="69">
        <f>'19'!T5</f>
        <v>0</v>
      </c>
      <c r="K56" s="69">
        <f>'19'!U5</f>
        <v>0</v>
      </c>
      <c r="L56" s="69">
        <f>'19'!V5</f>
        <v>0</v>
      </c>
      <c r="M56" s="70">
        <f>'19'!W5</f>
        <v>0</v>
      </c>
      <c r="N56" s="72">
        <f t="shared" si="1"/>
        <v>0</v>
      </c>
    </row>
    <row r="57" spans="1:14" x14ac:dyDescent="0.2">
      <c r="A57" s="95">
        <v>20</v>
      </c>
      <c r="B57" s="69">
        <f>'20'!L5</f>
        <v>0</v>
      </c>
      <c r="C57" s="69">
        <f>'20'!M5</f>
        <v>0</v>
      </c>
      <c r="D57" s="69">
        <f>'20'!N5</f>
        <v>0</v>
      </c>
      <c r="E57" s="69">
        <f>'20'!O5</f>
        <v>0</v>
      </c>
      <c r="F57" s="69">
        <f>'20'!P5</f>
        <v>0</v>
      </c>
      <c r="G57" s="69">
        <f>'20'!Q5</f>
        <v>0</v>
      </c>
      <c r="H57" s="69">
        <f>'20'!R5</f>
        <v>0</v>
      </c>
      <c r="I57" s="69">
        <f>'20'!S5</f>
        <v>0</v>
      </c>
      <c r="J57" s="69">
        <f>'20'!T5</f>
        <v>0</v>
      </c>
      <c r="K57" s="69">
        <f>'20'!U5</f>
        <v>0</v>
      </c>
      <c r="L57" s="69">
        <f>'20'!V5</f>
        <v>0</v>
      </c>
      <c r="M57" s="70">
        <f>'20'!W5</f>
        <v>0</v>
      </c>
      <c r="N57" s="72">
        <f t="shared" si="1"/>
        <v>0</v>
      </c>
    </row>
    <row r="58" spans="1:14" x14ac:dyDescent="0.2">
      <c r="A58" s="95">
        <v>21</v>
      </c>
      <c r="B58" s="69">
        <f>'21'!L5</f>
        <v>0</v>
      </c>
      <c r="C58" s="69">
        <f>'21'!M5</f>
        <v>0</v>
      </c>
      <c r="D58" s="69">
        <f>'21'!N5</f>
        <v>0</v>
      </c>
      <c r="E58" s="69">
        <f>'21'!O5</f>
        <v>0</v>
      </c>
      <c r="F58" s="69">
        <f>'21'!P5</f>
        <v>0</v>
      </c>
      <c r="G58" s="69">
        <f>'21'!Q5</f>
        <v>0</v>
      </c>
      <c r="H58" s="69">
        <f>'21'!R5</f>
        <v>0</v>
      </c>
      <c r="I58" s="69">
        <f>'21'!S5</f>
        <v>0</v>
      </c>
      <c r="J58" s="69">
        <f>'21'!T5</f>
        <v>0</v>
      </c>
      <c r="K58" s="69">
        <f>'21'!U5</f>
        <v>0</v>
      </c>
      <c r="L58" s="69">
        <f>'21'!V5</f>
        <v>0</v>
      </c>
      <c r="M58" s="70">
        <f>'21'!W5</f>
        <v>0</v>
      </c>
      <c r="N58" s="72">
        <f t="shared" si="1"/>
        <v>0</v>
      </c>
    </row>
    <row r="59" spans="1:14" x14ac:dyDescent="0.2">
      <c r="A59" s="95">
        <v>22</v>
      </c>
      <c r="B59" s="69">
        <f>'22'!L5</f>
        <v>0</v>
      </c>
      <c r="C59" s="69">
        <f>'22'!M5</f>
        <v>0</v>
      </c>
      <c r="D59" s="69">
        <f>'22'!N5</f>
        <v>0</v>
      </c>
      <c r="E59" s="69">
        <f>'22'!O5</f>
        <v>0</v>
      </c>
      <c r="F59" s="69">
        <f>'22'!P5</f>
        <v>0</v>
      </c>
      <c r="G59" s="69">
        <f>'22'!Q5</f>
        <v>0</v>
      </c>
      <c r="H59" s="69">
        <f>'22'!R5</f>
        <v>0</v>
      </c>
      <c r="I59" s="69">
        <f>'22'!S5</f>
        <v>0</v>
      </c>
      <c r="J59" s="69">
        <f>'22'!T5</f>
        <v>0</v>
      </c>
      <c r="K59" s="69">
        <f>'22'!U5</f>
        <v>0</v>
      </c>
      <c r="L59" s="69">
        <f>'22'!V5</f>
        <v>0</v>
      </c>
      <c r="M59" s="70">
        <f>'22'!W5</f>
        <v>0</v>
      </c>
      <c r="N59" s="72">
        <f t="shared" si="1"/>
        <v>0</v>
      </c>
    </row>
    <row r="60" spans="1:14" x14ac:dyDescent="0.2">
      <c r="A60" s="95">
        <v>23</v>
      </c>
      <c r="B60" s="69">
        <f>'23'!L5</f>
        <v>0</v>
      </c>
      <c r="C60" s="69">
        <f>'23'!M5</f>
        <v>0</v>
      </c>
      <c r="D60" s="69">
        <f>'23'!N5</f>
        <v>0</v>
      </c>
      <c r="E60" s="69">
        <f>'23'!O5</f>
        <v>0</v>
      </c>
      <c r="F60" s="69">
        <f>'23'!P5</f>
        <v>0</v>
      </c>
      <c r="G60" s="69">
        <f>'23'!Q5</f>
        <v>0</v>
      </c>
      <c r="H60" s="69">
        <f>'23'!R5</f>
        <v>0</v>
      </c>
      <c r="I60" s="69">
        <f>'23'!S5</f>
        <v>0</v>
      </c>
      <c r="J60" s="69">
        <f>'23'!T5</f>
        <v>0</v>
      </c>
      <c r="K60" s="69">
        <f>'23'!U5</f>
        <v>0</v>
      </c>
      <c r="L60" s="69">
        <f>'23'!V5</f>
        <v>0</v>
      </c>
      <c r="M60" s="70">
        <f>'23'!W5</f>
        <v>0</v>
      </c>
      <c r="N60" s="72">
        <f t="shared" si="1"/>
        <v>0</v>
      </c>
    </row>
    <row r="61" spans="1:14" x14ac:dyDescent="0.2">
      <c r="A61" s="95">
        <v>24</v>
      </c>
      <c r="B61" s="69">
        <f>'24'!L5</f>
        <v>0</v>
      </c>
      <c r="C61" s="69">
        <f>'24'!M5</f>
        <v>0</v>
      </c>
      <c r="D61" s="69">
        <f>'24'!N5</f>
        <v>0</v>
      </c>
      <c r="E61" s="69">
        <f>'24'!O5</f>
        <v>0</v>
      </c>
      <c r="F61" s="69">
        <f>'24'!P5</f>
        <v>0</v>
      </c>
      <c r="G61" s="69">
        <f>'24'!Q5</f>
        <v>0</v>
      </c>
      <c r="H61" s="69">
        <f>'24'!R5</f>
        <v>0</v>
      </c>
      <c r="I61" s="69">
        <f>'24'!S5</f>
        <v>0</v>
      </c>
      <c r="J61" s="69">
        <f>'24'!T5</f>
        <v>0</v>
      </c>
      <c r="K61" s="69">
        <f>'24'!U5</f>
        <v>0</v>
      </c>
      <c r="L61" s="69">
        <f>'24'!V5</f>
        <v>0</v>
      </c>
      <c r="M61" s="70">
        <f>'24'!W5</f>
        <v>0</v>
      </c>
      <c r="N61" s="72">
        <f t="shared" si="1"/>
        <v>0</v>
      </c>
    </row>
    <row r="62" spans="1:14" x14ac:dyDescent="0.2">
      <c r="A62" s="95">
        <v>25</v>
      </c>
      <c r="B62" s="69">
        <f>'25'!L5</f>
        <v>0</v>
      </c>
      <c r="C62" s="69">
        <f>'25'!M5</f>
        <v>0</v>
      </c>
      <c r="D62" s="69">
        <f>'25'!N5</f>
        <v>0</v>
      </c>
      <c r="E62" s="69">
        <f>'25'!O5</f>
        <v>0</v>
      </c>
      <c r="F62" s="69">
        <f>'25'!P5</f>
        <v>0</v>
      </c>
      <c r="G62" s="69">
        <f>'25'!Q5</f>
        <v>0</v>
      </c>
      <c r="H62" s="69">
        <f>'25'!R5</f>
        <v>0</v>
      </c>
      <c r="I62" s="69">
        <f>'25'!S5</f>
        <v>0</v>
      </c>
      <c r="J62" s="69">
        <f>'25'!T5</f>
        <v>0</v>
      </c>
      <c r="K62" s="69">
        <f>'25'!U5</f>
        <v>0</v>
      </c>
      <c r="L62" s="69">
        <f>'25'!V5</f>
        <v>0</v>
      </c>
      <c r="M62" s="70">
        <f>'25'!W5</f>
        <v>0</v>
      </c>
      <c r="N62" s="72">
        <f t="shared" si="1"/>
        <v>0</v>
      </c>
    </row>
    <row r="63" spans="1:14" x14ac:dyDescent="0.2">
      <c r="A63" s="95">
        <v>26</v>
      </c>
      <c r="B63" s="69">
        <f>'26'!L5</f>
        <v>0</v>
      </c>
      <c r="C63" s="69">
        <f>'26'!M5</f>
        <v>0</v>
      </c>
      <c r="D63" s="69">
        <f>'26'!N5</f>
        <v>0</v>
      </c>
      <c r="E63" s="69">
        <f>'26'!O5</f>
        <v>0</v>
      </c>
      <c r="F63" s="69">
        <f>'26'!P5</f>
        <v>0</v>
      </c>
      <c r="G63" s="69">
        <f>'26'!Q5</f>
        <v>0</v>
      </c>
      <c r="H63" s="69">
        <f>'26'!R5</f>
        <v>0</v>
      </c>
      <c r="I63" s="69">
        <f>'26'!S5</f>
        <v>0</v>
      </c>
      <c r="J63" s="69">
        <f>'26'!T5</f>
        <v>0</v>
      </c>
      <c r="K63" s="69">
        <f>'26'!U5</f>
        <v>0</v>
      </c>
      <c r="L63" s="69">
        <f>'26'!V5</f>
        <v>0</v>
      </c>
      <c r="M63" s="70">
        <f>'26'!W5</f>
        <v>0</v>
      </c>
      <c r="N63" s="72">
        <f t="shared" si="1"/>
        <v>0</v>
      </c>
    </row>
    <row r="64" spans="1:14" x14ac:dyDescent="0.2">
      <c r="A64" s="95">
        <v>27</v>
      </c>
      <c r="B64" s="69">
        <f>'27'!L5</f>
        <v>0</v>
      </c>
      <c r="C64" s="69">
        <f>'27'!M5</f>
        <v>0</v>
      </c>
      <c r="D64" s="69">
        <f>'27'!N5</f>
        <v>0</v>
      </c>
      <c r="E64" s="69">
        <f>'27'!O5</f>
        <v>0</v>
      </c>
      <c r="F64" s="69">
        <f>'27'!P5</f>
        <v>0</v>
      </c>
      <c r="G64" s="69">
        <f>'27'!Q5</f>
        <v>0</v>
      </c>
      <c r="H64" s="69">
        <f>'27'!R5</f>
        <v>0</v>
      </c>
      <c r="I64" s="69">
        <f>'27'!S5</f>
        <v>0</v>
      </c>
      <c r="J64" s="69">
        <f>'27'!T5</f>
        <v>0</v>
      </c>
      <c r="K64" s="69">
        <f>'27'!U5</f>
        <v>0</v>
      </c>
      <c r="L64" s="69">
        <f>'27'!V5</f>
        <v>0</v>
      </c>
      <c r="M64" s="70">
        <f>'27'!W5</f>
        <v>0</v>
      </c>
      <c r="N64" s="72">
        <f t="shared" si="1"/>
        <v>0</v>
      </c>
    </row>
    <row r="65" spans="1:14" x14ac:dyDescent="0.2">
      <c r="A65" s="95">
        <v>28</v>
      </c>
      <c r="B65" s="69">
        <f>'28'!L5</f>
        <v>0</v>
      </c>
      <c r="C65" s="69">
        <f>'28'!M5</f>
        <v>0</v>
      </c>
      <c r="D65" s="69">
        <f>'28'!N5</f>
        <v>0</v>
      </c>
      <c r="E65" s="69">
        <f>'28'!O5</f>
        <v>0</v>
      </c>
      <c r="F65" s="69">
        <f>'28'!P5</f>
        <v>0</v>
      </c>
      <c r="G65" s="69">
        <f>'28'!Q5</f>
        <v>0</v>
      </c>
      <c r="H65" s="69">
        <f>'28'!R5</f>
        <v>0</v>
      </c>
      <c r="I65" s="69">
        <f>'28'!S5</f>
        <v>0</v>
      </c>
      <c r="J65" s="69">
        <f>'28'!T5</f>
        <v>0</v>
      </c>
      <c r="K65" s="69">
        <f>'28'!U5</f>
        <v>0</v>
      </c>
      <c r="L65" s="69">
        <f>'28'!V5</f>
        <v>0</v>
      </c>
      <c r="M65" s="70">
        <f>'28'!W5</f>
        <v>0</v>
      </c>
      <c r="N65" s="72">
        <f t="shared" si="1"/>
        <v>0</v>
      </c>
    </row>
    <row r="66" spans="1:14" x14ac:dyDescent="0.2">
      <c r="A66" s="95">
        <v>29</v>
      </c>
      <c r="B66" s="69">
        <f>'29'!L5</f>
        <v>0</v>
      </c>
      <c r="C66" s="69">
        <f>'29'!M5</f>
        <v>0</v>
      </c>
      <c r="D66" s="69">
        <f>'29'!N5</f>
        <v>0</v>
      </c>
      <c r="E66" s="69">
        <f>'29'!O5</f>
        <v>0</v>
      </c>
      <c r="F66" s="69">
        <f>'29'!P5</f>
        <v>0</v>
      </c>
      <c r="G66" s="69">
        <f>'29'!Q5</f>
        <v>0</v>
      </c>
      <c r="H66" s="69">
        <f>'29'!R5</f>
        <v>0</v>
      </c>
      <c r="I66" s="69">
        <f>'29'!S5</f>
        <v>0</v>
      </c>
      <c r="J66" s="69">
        <f>'29'!T5</f>
        <v>0</v>
      </c>
      <c r="K66" s="69">
        <f>'29'!U5</f>
        <v>0</v>
      </c>
      <c r="L66" s="69">
        <f>'29'!V5</f>
        <v>0</v>
      </c>
      <c r="M66" s="70">
        <f>'29'!W5</f>
        <v>0</v>
      </c>
      <c r="N66" s="72">
        <f t="shared" si="1"/>
        <v>0</v>
      </c>
    </row>
    <row r="67" spans="1:14" x14ac:dyDescent="0.2">
      <c r="A67" s="95">
        <v>30</v>
      </c>
      <c r="B67" s="69">
        <f>'30'!L5</f>
        <v>0</v>
      </c>
      <c r="C67" s="69">
        <f>'30'!M5</f>
        <v>0</v>
      </c>
      <c r="D67" s="69">
        <f>'30'!N5</f>
        <v>0</v>
      </c>
      <c r="E67" s="69">
        <f>'30'!O5</f>
        <v>0</v>
      </c>
      <c r="F67" s="69">
        <f>'30'!P5</f>
        <v>0</v>
      </c>
      <c r="G67" s="69">
        <f>'30'!Q5</f>
        <v>0</v>
      </c>
      <c r="H67" s="69">
        <f>'30'!R5</f>
        <v>0</v>
      </c>
      <c r="I67" s="69">
        <f>'30'!S5</f>
        <v>0</v>
      </c>
      <c r="J67" s="69">
        <f>'30'!T5</f>
        <v>0</v>
      </c>
      <c r="K67" s="69">
        <f>'30'!U5</f>
        <v>0</v>
      </c>
      <c r="L67" s="69">
        <f>'30'!V5</f>
        <v>0</v>
      </c>
      <c r="M67" s="70">
        <f>'30'!W5</f>
        <v>0</v>
      </c>
      <c r="N67" s="72">
        <f t="shared" si="1"/>
        <v>0</v>
      </c>
    </row>
    <row r="68" spans="1:14" ht="15.75" thickBot="1" x14ac:dyDescent="0.25">
      <c r="A68" s="109">
        <v>31</v>
      </c>
      <c r="B68" s="69">
        <f>'31'!L5</f>
        <v>0</v>
      </c>
      <c r="C68" s="69">
        <f>'31'!M5</f>
        <v>0</v>
      </c>
      <c r="D68" s="69">
        <f>'31'!N5</f>
        <v>0</v>
      </c>
      <c r="E68" s="69">
        <f>'31'!O5</f>
        <v>0</v>
      </c>
      <c r="F68" s="69">
        <f>'31'!P5</f>
        <v>0</v>
      </c>
      <c r="G68" s="69">
        <f>'31'!Q5</f>
        <v>0</v>
      </c>
      <c r="H68" s="69">
        <f>'31'!R5</f>
        <v>0</v>
      </c>
      <c r="I68" s="69">
        <f>'31'!S5</f>
        <v>0</v>
      </c>
      <c r="J68" s="69">
        <f>'31'!T5</f>
        <v>0</v>
      </c>
      <c r="K68" s="69">
        <f>'31'!U5</f>
        <v>0</v>
      </c>
      <c r="L68" s="69">
        <f>'31'!V5</f>
        <v>0</v>
      </c>
      <c r="M68" s="69">
        <f>'31'!W5</f>
        <v>0</v>
      </c>
      <c r="N68" s="107">
        <f t="shared" si="1"/>
        <v>0</v>
      </c>
    </row>
    <row r="69" spans="1:14" ht="15.75" thickBot="1" x14ac:dyDescent="0.25">
      <c r="A69" s="109" t="s">
        <v>34</v>
      </c>
      <c r="B69" s="69">
        <f>FINAL!F3</f>
        <v>14806</v>
      </c>
      <c r="C69" s="69">
        <f>FINAL!F4</f>
        <v>0</v>
      </c>
      <c r="D69" s="69">
        <f>FINAL!F5</f>
        <v>0</v>
      </c>
      <c r="E69" s="69">
        <f>FINAL!F6</f>
        <v>0</v>
      </c>
      <c r="F69" s="69">
        <f>FINAL!F7</f>
        <v>0</v>
      </c>
      <c r="G69" s="69">
        <f>FINAL!F8</f>
        <v>0</v>
      </c>
      <c r="H69" s="69">
        <f>FINAL!F9</f>
        <v>0</v>
      </c>
      <c r="I69" s="69">
        <f>FINAL!F10</f>
        <v>0</v>
      </c>
      <c r="J69" s="69">
        <f>FINAL!F11</f>
        <v>0</v>
      </c>
      <c r="K69" s="69">
        <f>FINAL!F11</f>
        <v>0</v>
      </c>
      <c r="L69" s="69">
        <f>FINAL!F13</f>
        <v>0</v>
      </c>
      <c r="M69" s="69">
        <f>FINAL!F14</f>
        <v>0</v>
      </c>
      <c r="N69" s="107">
        <f t="shared" si="1"/>
        <v>14806</v>
      </c>
    </row>
    <row r="70" spans="1:14" ht="15.75" thickBot="1" x14ac:dyDescent="0.25">
      <c r="A70" s="108" t="s">
        <v>3</v>
      </c>
      <c r="B70" s="64">
        <f>SUM(B38:B69)</f>
        <v>25946</v>
      </c>
      <c r="C70" s="64">
        <f>SUM(C38:C69)</f>
        <v>0</v>
      </c>
      <c r="D70" s="64">
        <f>SUM(D38:D69)</f>
        <v>70</v>
      </c>
      <c r="E70" s="64">
        <f>SUM(E38:E69)</f>
        <v>226</v>
      </c>
      <c r="F70" s="64">
        <f t="shared" ref="F70:J70" si="2">SUM(F38:F69)</f>
        <v>0</v>
      </c>
      <c r="G70" s="64">
        <f t="shared" si="2"/>
        <v>0</v>
      </c>
      <c r="H70" s="64">
        <f t="shared" si="2"/>
        <v>0</v>
      </c>
      <c r="I70" s="64">
        <f t="shared" si="2"/>
        <v>0</v>
      </c>
      <c r="J70" s="64">
        <f t="shared" si="2"/>
        <v>0</v>
      </c>
      <c r="K70" s="64">
        <f t="shared" ref="K70" si="3">SUM(K38:K69)</f>
        <v>0</v>
      </c>
      <c r="L70" s="64">
        <f t="shared" ref="L70" si="4">SUM(L38:L69)</f>
        <v>0</v>
      </c>
      <c r="M70" s="64">
        <f t="shared" ref="M70" si="5">SUM(M38:M69)</f>
        <v>0</v>
      </c>
      <c r="N70" s="96">
        <f>SUM(N38:N69)</f>
        <v>26242</v>
      </c>
    </row>
  </sheetData>
  <mergeCells count="1">
    <mergeCell ref="O1:P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41"/>
  <sheetViews>
    <sheetView tabSelected="1" workbookViewId="0">
      <selection activeCell="B24" sqref="B24"/>
    </sheetView>
  </sheetViews>
  <sheetFormatPr defaultColWidth="8.7421875" defaultRowHeight="15" x14ac:dyDescent="0.2"/>
  <cols>
    <col min="1" max="1" width="14.125" style="29" customWidth="1"/>
    <col min="2" max="2" width="40.7578125" style="29" customWidth="1"/>
    <col min="3" max="3" width="13.31640625" style="29" customWidth="1"/>
    <col min="4" max="4" width="2.28515625" style="29" customWidth="1"/>
    <col min="5" max="5" width="17.21875" style="29" customWidth="1"/>
    <col min="6" max="7" width="14.66015625" style="29" customWidth="1"/>
    <col min="8" max="8" width="17.62109375" style="29" customWidth="1"/>
    <col min="9" max="9" width="14.66015625" style="29" customWidth="1"/>
    <col min="10" max="10" width="8.7421875" style="66"/>
    <col min="11" max="24" width="8.7421875" style="52"/>
    <col min="25" max="26" width="8.7421875" style="66"/>
    <col min="27" max="16384" width="8.7421875" style="29"/>
  </cols>
  <sheetData>
    <row r="1" spans="1:24" ht="15.75" thickBot="1" x14ac:dyDescent="0.25">
      <c r="A1" s="121" t="s">
        <v>23</v>
      </c>
      <c r="B1" s="122"/>
      <c r="C1" s="123"/>
      <c r="E1" s="30"/>
      <c r="F1" s="30"/>
      <c r="G1" s="30"/>
      <c r="H1" s="30"/>
      <c r="I1" s="30"/>
    </row>
    <row r="2" spans="1:24" ht="14.65" customHeight="1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34"/>
      <c r="H2" s="116" t="s">
        <v>7</v>
      </c>
      <c r="I2" s="117"/>
    </row>
    <row r="3" spans="1:24" ht="15.75" thickBot="1" x14ac:dyDescent="0.25">
      <c r="A3" s="35" t="s">
        <v>54</v>
      </c>
      <c r="B3" s="36" t="s">
        <v>53</v>
      </c>
      <c r="C3" s="37">
        <v>18000</v>
      </c>
      <c r="E3" s="55" t="s">
        <v>27</v>
      </c>
      <c r="F3" s="38">
        <v>11140</v>
      </c>
      <c r="G3" s="34"/>
      <c r="H3" s="64" t="s">
        <v>32</v>
      </c>
      <c r="I3" s="39">
        <v>91856</v>
      </c>
    </row>
    <row r="4" spans="1:24" x14ac:dyDescent="0.2">
      <c r="A4" s="35" t="s">
        <v>54</v>
      </c>
      <c r="B4" s="36" t="s">
        <v>56</v>
      </c>
      <c r="C4" s="37">
        <v>790</v>
      </c>
      <c r="E4" s="56" t="s">
        <v>28</v>
      </c>
      <c r="F4" s="40"/>
      <c r="G4" s="34"/>
      <c r="H4" s="62" t="s">
        <v>44</v>
      </c>
      <c r="I4" s="41">
        <v>200</v>
      </c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5" t="s">
        <v>54</v>
      </c>
      <c r="B5" s="36" t="s">
        <v>57</v>
      </c>
      <c r="C5" s="37">
        <v>750</v>
      </c>
      <c r="E5" s="56" t="s">
        <v>16</v>
      </c>
      <c r="F5" s="40">
        <v>70</v>
      </c>
      <c r="G5" s="34"/>
      <c r="H5" s="35" t="s">
        <v>55</v>
      </c>
      <c r="I5" s="41">
        <v>10000</v>
      </c>
      <c r="K5" s="54">
        <v>1</v>
      </c>
      <c r="L5" s="52">
        <f>F3</f>
        <v>11140</v>
      </c>
      <c r="M5" s="52">
        <f>F4</f>
        <v>0</v>
      </c>
      <c r="N5" s="52">
        <f>F5</f>
        <v>70</v>
      </c>
      <c r="O5" s="52">
        <f>F6</f>
        <v>226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11436</v>
      </c>
    </row>
    <row r="6" spans="1:24" x14ac:dyDescent="0.2">
      <c r="A6" s="35"/>
      <c r="B6" s="36"/>
      <c r="C6" s="37"/>
      <c r="E6" s="56" t="s">
        <v>24</v>
      </c>
      <c r="F6" s="40">
        <v>226</v>
      </c>
      <c r="G6" s="34"/>
      <c r="H6" s="35"/>
      <c r="I6" s="41"/>
    </row>
    <row r="7" spans="1:24" x14ac:dyDescent="0.2">
      <c r="A7" s="35"/>
      <c r="B7" s="36"/>
      <c r="C7" s="37"/>
      <c r="E7" s="56" t="s">
        <v>18</v>
      </c>
      <c r="F7" s="40"/>
      <c r="G7" s="42"/>
      <c r="H7" s="35"/>
      <c r="I7" s="41"/>
    </row>
    <row r="8" spans="1:24" x14ac:dyDescent="0.2">
      <c r="A8" s="35"/>
      <c r="B8" s="36"/>
      <c r="C8" s="37"/>
      <c r="E8" s="56" t="s">
        <v>19</v>
      </c>
      <c r="F8" s="40"/>
      <c r="G8" s="42"/>
      <c r="H8" s="35"/>
      <c r="I8" s="41"/>
    </row>
    <row r="9" spans="1:24" x14ac:dyDescent="0.2">
      <c r="A9" s="35"/>
      <c r="B9" s="36"/>
      <c r="C9" s="37"/>
      <c r="E9" s="56" t="s">
        <v>17</v>
      </c>
      <c r="F9" s="40"/>
      <c r="G9" s="42"/>
      <c r="H9" s="35"/>
      <c r="I9" s="41"/>
    </row>
    <row r="10" spans="1:24" x14ac:dyDescent="0.2">
      <c r="A10" s="35"/>
      <c r="B10" s="36"/>
      <c r="C10" s="37"/>
      <c r="E10" s="56" t="s">
        <v>20</v>
      </c>
      <c r="F10" s="40"/>
      <c r="G10" s="42"/>
      <c r="H10" s="35"/>
      <c r="I10" s="41"/>
    </row>
    <row r="11" spans="1:24" x14ac:dyDescent="0.2">
      <c r="A11" s="35"/>
      <c r="B11" s="36"/>
      <c r="C11" s="37"/>
      <c r="E11" s="56" t="s">
        <v>25</v>
      </c>
      <c r="F11" s="40"/>
      <c r="G11" s="42"/>
      <c r="H11" s="63"/>
      <c r="I11" s="41"/>
    </row>
    <row r="12" spans="1:24" x14ac:dyDescent="0.2">
      <c r="A12" s="35"/>
      <c r="B12" s="36"/>
      <c r="C12" s="37"/>
      <c r="E12" s="56" t="s">
        <v>26</v>
      </c>
      <c r="F12" s="40"/>
      <c r="G12" s="42"/>
      <c r="H12" s="63"/>
      <c r="I12" s="41"/>
    </row>
    <row r="13" spans="1:24" x14ac:dyDescent="0.2">
      <c r="A13" s="35"/>
      <c r="B13" s="36"/>
      <c r="C13" s="37"/>
      <c r="E13" s="56" t="s">
        <v>21</v>
      </c>
      <c r="F13" s="40"/>
      <c r="G13" s="42"/>
      <c r="H13" s="63"/>
      <c r="I13" s="41"/>
    </row>
    <row r="14" spans="1:24" ht="15.75" thickBot="1" x14ac:dyDescent="0.25">
      <c r="A14" s="35"/>
      <c r="B14" s="36"/>
      <c r="C14" s="37"/>
      <c r="E14" s="57" t="s">
        <v>21</v>
      </c>
      <c r="F14" s="58"/>
      <c r="G14" s="42"/>
      <c r="H14" s="63"/>
      <c r="I14" s="41"/>
    </row>
    <row r="15" spans="1:24" ht="15.75" thickBot="1" x14ac:dyDescent="0.25">
      <c r="A15" s="35"/>
      <c r="B15" s="36"/>
      <c r="C15" s="37"/>
      <c r="E15" s="64" t="s">
        <v>3</v>
      </c>
      <c r="F15" s="39">
        <f>SUM(F3:F14)</f>
        <v>11436</v>
      </c>
      <c r="H15" s="65" t="s">
        <v>3</v>
      </c>
      <c r="I15" s="43">
        <f>SUM(I3:I14)</f>
        <v>102056</v>
      </c>
    </row>
    <row r="16" spans="1:24" ht="15.75" thickBot="1" x14ac:dyDescent="0.25">
      <c r="A16" s="35"/>
      <c r="B16" s="36"/>
      <c r="C16" s="37"/>
    </row>
    <row r="17" spans="1:9" x14ac:dyDescent="0.2">
      <c r="A17" s="35"/>
      <c r="B17" s="36"/>
      <c r="C17" s="37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ht="15.75" thickBot="1" x14ac:dyDescent="0.25">
      <c r="A18" s="35"/>
      <c r="B18" s="36"/>
      <c r="C18" s="37"/>
      <c r="E18" s="44">
        <v>0</v>
      </c>
      <c r="F18" s="45">
        <f>F15</f>
        <v>11436</v>
      </c>
      <c r="G18" s="45">
        <f>F18+E18</f>
        <v>11436</v>
      </c>
      <c r="H18" s="45">
        <f>C30</f>
        <v>19540</v>
      </c>
      <c r="I18" s="46">
        <f>G18-H18</f>
        <v>-8104</v>
      </c>
    </row>
    <row r="19" spans="1:9" ht="15.75" thickBot="1" x14ac:dyDescent="0.25">
      <c r="A19" s="35"/>
      <c r="B19" s="36"/>
      <c r="C19" s="37"/>
    </row>
    <row r="20" spans="1:9" ht="15" customHeight="1" thickBot="1" x14ac:dyDescent="0.25">
      <c r="A20" s="35"/>
      <c r="B20" s="36"/>
      <c r="C20" s="37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5"/>
      <c r="B21" s="36"/>
      <c r="C21" s="37"/>
      <c r="E21" s="73" t="s">
        <v>1</v>
      </c>
      <c r="F21" s="74" t="s">
        <v>12</v>
      </c>
      <c r="G21" s="73" t="s">
        <v>13</v>
      </c>
      <c r="H21" s="75" t="s">
        <v>14</v>
      </c>
      <c r="I21" s="74" t="s">
        <v>15</v>
      </c>
    </row>
    <row r="22" spans="1:9" ht="15.75" customHeight="1" x14ac:dyDescent="0.2">
      <c r="A22" s="35"/>
      <c r="B22" s="36"/>
      <c r="C22" s="37"/>
      <c r="E22" s="36" t="s">
        <v>33</v>
      </c>
      <c r="F22" s="78"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5"/>
      <c r="B23" s="36"/>
      <c r="C23" s="37"/>
      <c r="E23" s="36" t="s">
        <v>35</v>
      </c>
      <c r="F23" s="36"/>
      <c r="G23" s="36">
        <v>410</v>
      </c>
      <c r="H23" s="36"/>
      <c r="I23" s="37">
        <f t="shared" ref="I23:I40" si="0">F23+G23-H23</f>
        <v>410</v>
      </c>
    </row>
    <row r="24" spans="1:9" ht="15" customHeight="1" x14ac:dyDescent="0.2">
      <c r="A24" s="35"/>
      <c r="B24" s="36"/>
      <c r="C24" s="37"/>
      <c r="E24" s="36" t="s">
        <v>44</v>
      </c>
      <c r="F24" s="36">
        <v>5000</v>
      </c>
      <c r="G24" s="36"/>
      <c r="H24" s="36">
        <v>5000</v>
      </c>
      <c r="I24" s="37">
        <f t="shared" si="0"/>
        <v>0</v>
      </c>
    </row>
    <row r="25" spans="1:9" ht="15" customHeight="1" x14ac:dyDescent="0.2">
      <c r="A25" s="35"/>
      <c r="B25" s="36"/>
      <c r="C25" s="37"/>
      <c r="E25" s="36" t="s">
        <v>37</v>
      </c>
      <c r="F25" s="36"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5"/>
      <c r="B26" s="36"/>
      <c r="C26" s="37"/>
      <c r="E26" s="36" t="s">
        <v>51</v>
      </c>
      <c r="F26" s="36"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5"/>
      <c r="B27" s="36"/>
      <c r="C27" s="37"/>
      <c r="E27" s="36" t="s">
        <v>52</v>
      </c>
      <c r="F27" s="36"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5"/>
      <c r="B28" s="36"/>
      <c r="C28" s="37"/>
      <c r="E28" s="112" t="s">
        <v>40</v>
      </c>
      <c r="F28" s="36"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47"/>
      <c r="B29" s="48"/>
      <c r="C29" s="37"/>
      <c r="E29" s="36" t="s">
        <v>41</v>
      </c>
      <c r="F29" s="36"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18" t="s">
        <v>10</v>
      </c>
      <c r="B30" s="119"/>
      <c r="C30" s="49">
        <f>SUM(C3:C29)</f>
        <v>19540</v>
      </c>
      <c r="E30" s="36" t="s">
        <v>42</v>
      </c>
      <c r="F30" s="36"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/>
      <c r="G31" s="36"/>
      <c r="H31" s="36"/>
      <c r="I31" s="37">
        <f t="shared" si="0"/>
        <v>0</v>
      </c>
    </row>
    <row r="32" spans="1:9" x14ac:dyDescent="0.2">
      <c r="E32" s="36"/>
      <c r="F32" s="36"/>
      <c r="G32" s="69"/>
      <c r="H32" s="69"/>
      <c r="I32" s="37">
        <f t="shared" si="0"/>
        <v>0</v>
      </c>
    </row>
    <row r="33" spans="5:9" x14ac:dyDescent="0.2">
      <c r="E33" s="35"/>
      <c r="F33" s="36"/>
      <c r="G33" s="69"/>
      <c r="H33" s="69"/>
      <c r="I33" s="37">
        <f t="shared" si="0"/>
        <v>0</v>
      </c>
    </row>
    <row r="34" spans="5:9" x14ac:dyDescent="0.2">
      <c r="E34" s="36"/>
      <c r="F34" s="36"/>
      <c r="G34" s="36"/>
      <c r="H34" s="36"/>
      <c r="I34" s="37">
        <f t="shared" si="0"/>
        <v>0</v>
      </c>
    </row>
    <row r="35" spans="5:9" x14ac:dyDescent="0.2">
      <c r="E35" s="36"/>
      <c r="F35" s="36"/>
      <c r="G35" s="36"/>
      <c r="H35" s="36"/>
      <c r="I35" s="37">
        <f t="shared" si="0"/>
        <v>0</v>
      </c>
    </row>
    <row r="36" spans="5:9" x14ac:dyDescent="0.2">
      <c r="E36" s="36"/>
      <c r="F36" s="36"/>
      <c r="G36" s="36"/>
      <c r="H36" s="36"/>
      <c r="I36" s="37">
        <f t="shared" si="0"/>
        <v>0</v>
      </c>
    </row>
    <row r="37" spans="5:9" x14ac:dyDescent="0.2">
      <c r="E37" s="36"/>
      <c r="F37" s="36"/>
      <c r="G37" s="36"/>
      <c r="H37" s="36"/>
      <c r="I37" s="37">
        <f t="shared" si="0"/>
        <v>0</v>
      </c>
    </row>
    <row r="38" spans="5:9" x14ac:dyDescent="0.2">
      <c r="E38" s="36"/>
      <c r="F38" s="36"/>
      <c r="G38" s="36"/>
      <c r="H38" s="36"/>
      <c r="I38" s="37">
        <f t="shared" si="0"/>
        <v>0</v>
      </c>
    </row>
    <row r="39" spans="5:9" x14ac:dyDescent="0.2">
      <c r="E39" s="36"/>
      <c r="F39" s="36"/>
      <c r="G39" s="36"/>
      <c r="H39" s="36"/>
      <c r="I39" s="37">
        <f t="shared" si="0"/>
        <v>0</v>
      </c>
    </row>
    <row r="40" spans="5:9" ht="15.75" thickBot="1" x14ac:dyDescent="0.25">
      <c r="E40" s="36"/>
      <c r="F40" s="45"/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70426</v>
      </c>
      <c r="G41" s="39">
        <f>SUM(G22:G40)</f>
        <v>410</v>
      </c>
      <c r="H41" s="39">
        <f>SUM(H22:H40)</f>
        <v>5000</v>
      </c>
      <c r="I41" s="76">
        <f>F41+G41-H41</f>
        <v>65836</v>
      </c>
    </row>
  </sheetData>
  <mergeCells count="5">
    <mergeCell ref="E2:F2"/>
    <mergeCell ref="H2:I2"/>
    <mergeCell ref="A30:B30"/>
    <mergeCell ref="E20:I20"/>
    <mergeCell ref="A1:C1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41"/>
  <sheetViews>
    <sheetView topLeftCell="B1" workbookViewId="0">
      <selection activeCell="G34" sqref="G34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5" width="17.21875" style="2" customWidth="1"/>
    <col min="6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'1'!I18</f>
        <v>-8104</v>
      </c>
      <c r="F18" s="45">
        <f>F15</f>
        <v>0</v>
      </c>
      <c r="G18" s="45">
        <f>F18+E18</f>
        <v>-8104</v>
      </c>
      <c r="H18" s="45">
        <f>C30</f>
        <v>0</v>
      </c>
      <c r="I18" s="46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thickBot="1" x14ac:dyDescent="0.25">
      <c r="A22" s="3"/>
      <c r="B22" s="4"/>
      <c r="C22" s="5"/>
      <c r="E22" s="36"/>
      <c r="F22" s="88">
        <f>'1'!I22</f>
        <v>20126</v>
      </c>
      <c r="G22" s="78"/>
      <c r="H22" s="78"/>
      <c r="I22" s="79">
        <f>F22+G22-H22</f>
        <v>20126</v>
      </c>
    </row>
    <row r="23" spans="1:9" ht="15.75" customHeight="1" thickBot="1" x14ac:dyDescent="0.25">
      <c r="A23" s="3"/>
      <c r="B23" s="4"/>
      <c r="C23" s="5"/>
      <c r="E23" s="36"/>
      <c r="F23" s="88">
        <f>'1'!I23</f>
        <v>410</v>
      </c>
      <c r="G23" s="36"/>
      <c r="H23" s="36"/>
      <c r="I23" s="37">
        <f t="shared" ref="I23:I40" si="0">F23+G23-H23</f>
        <v>410</v>
      </c>
    </row>
    <row r="24" spans="1:9" ht="15" customHeight="1" thickBot="1" x14ac:dyDescent="0.25">
      <c r="A24" s="3"/>
      <c r="B24" s="4"/>
      <c r="C24" s="5"/>
      <c r="E24" s="69"/>
      <c r="F24" s="88">
        <f>'1'!I24</f>
        <v>0</v>
      </c>
      <c r="G24" s="36"/>
      <c r="H24" s="36"/>
      <c r="I24" s="37">
        <f t="shared" si="0"/>
        <v>0</v>
      </c>
    </row>
    <row r="25" spans="1:9" ht="15" customHeight="1" thickBot="1" x14ac:dyDescent="0.25">
      <c r="A25" s="3"/>
      <c r="B25" s="4"/>
      <c r="C25" s="5"/>
      <c r="E25" s="36"/>
      <c r="F25" s="88">
        <f>'1'!I25</f>
        <v>8300</v>
      </c>
      <c r="G25" s="36"/>
      <c r="H25" s="36"/>
      <c r="I25" s="37">
        <f t="shared" si="0"/>
        <v>8300</v>
      </c>
    </row>
    <row r="26" spans="1:9" ht="15" customHeight="1" thickBot="1" x14ac:dyDescent="0.25">
      <c r="A26" s="3"/>
      <c r="B26" s="4"/>
      <c r="C26" s="5"/>
      <c r="E26" s="36"/>
      <c r="F26" s="88">
        <f>'1'!I26</f>
        <v>10000</v>
      </c>
      <c r="G26" s="69"/>
      <c r="H26" s="69"/>
      <c r="I26" s="37">
        <f t="shared" si="0"/>
        <v>10000</v>
      </c>
    </row>
    <row r="27" spans="1:9" ht="15" customHeight="1" thickBot="1" x14ac:dyDescent="0.25">
      <c r="A27" s="3"/>
      <c r="B27" s="4"/>
      <c r="C27" s="5"/>
      <c r="E27" s="36"/>
      <c r="F27" s="88">
        <f>'1'!I27</f>
        <v>20000</v>
      </c>
      <c r="G27" s="69"/>
      <c r="H27" s="69"/>
      <c r="I27" s="37">
        <f t="shared" si="0"/>
        <v>20000</v>
      </c>
    </row>
    <row r="28" spans="1:9" ht="15" customHeight="1" thickBot="1" x14ac:dyDescent="0.25">
      <c r="A28" s="3"/>
      <c r="B28" s="4"/>
      <c r="C28" s="5"/>
      <c r="E28" s="36"/>
      <c r="F28" s="88">
        <f>'1'!I28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88">
        <f>'1'!I29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88">
        <f>'1'!I30</f>
        <v>5000</v>
      </c>
      <c r="G30" s="36"/>
      <c r="H30" s="36"/>
      <c r="I30" s="37">
        <f t="shared" si="0"/>
        <v>5000</v>
      </c>
    </row>
    <row r="31" spans="1:9" ht="15.75" thickBot="1" x14ac:dyDescent="0.25">
      <c r="E31" s="36"/>
      <c r="F31" s="88">
        <f>'1'!I31</f>
        <v>0</v>
      </c>
      <c r="G31" s="36"/>
      <c r="H31" s="36"/>
      <c r="I31" s="37">
        <f t="shared" si="0"/>
        <v>0</v>
      </c>
    </row>
    <row r="32" spans="1:9" ht="15.75" thickBot="1" x14ac:dyDescent="0.25">
      <c r="E32" s="36"/>
      <c r="F32" s="88">
        <f>'1'!I32</f>
        <v>0</v>
      </c>
      <c r="G32" s="69"/>
      <c r="H32" s="69"/>
      <c r="I32" s="37">
        <f t="shared" si="0"/>
        <v>0</v>
      </c>
    </row>
    <row r="33" spans="5:9" ht="15.75" thickBot="1" x14ac:dyDescent="0.25">
      <c r="E33" s="36"/>
      <c r="F33" s="88">
        <f>'1'!I33</f>
        <v>0</v>
      </c>
      <c r="G33" s="69"/>
      <c r="H33" s="69"/>
      <c r="I33" s="37">
        <f t="shared" si="0"/>
        <v>0</v>
      </c>
    </row>
    <row r="34" spans="5:9" ht="15.75" thickBot="1" x14ac:dyDescent="0.25">
      <c r="E34" s="36"/>
      <c r="F34" s="88">
        <f>'1'!I34</f>
        <v>0</v>
      </c>
      <c r="G34" s="36"/>
      <c r="H34" s="36"/>
      <c r="I34" s="37">
        <f t="shared" si="0"/>
        <v>0</v>
      </c>
    </row>
    <row r="35" spans="5:9" ht="15.75" thickBot="1" x14ac:dyDescent="0.25">
      <c r="E35" s="36"/>
      <c r="F35" s="88">
        <f>'1'!I35</f>
        <v>0</v>
      </c>
      <c r="G35" s="36"/>
      <c r="H35" s="36"/>
      <c r="I35" s="37">
        <f t="shared" si="0"/>
        <v>0</v>
      </c>
    </row>
    <row r="36" spans="5:9" ht="15.75" thickBot="1" x14ac:dyDescent="0.25">
      <c r="E36" s="36"/>
      <c r="F36" s="88">
        <f>'1'!I36</f>
        <v>0</v>
      </c>
      <c r="G36" s="36"/>
      <c r="H36" s="36"/>
      <c r="I36" s="37">
        <f t="shared" si="0"/>
        <v>0</v>
      </c>
    </row>
    <row r="37" spans="5:9" ht="15.75" thickBot="1" x14ac:dyDescent="0.25">
      <c r="E37" s="36"/>
      <c r="F37" s="88">
        <f>'1'!I37</f>
        <v>0</v>
      </c>
      <c r="G37" s="36"/>
      <c r="H37" s="36"/>
      <c r="I37" s="37">
        <f t="shared" si="0"/>
        <v>0</v>
      </c>
    </row>
    <row r="38" spans="5:9" ht="15.75" thickBot="1" x14ac:dyDescent="0.25">
      <c r="E38" s="36"/>
      <c r="F38" s="88">
        <f>'1'!I38</f>
        <v>0</v>
      </c>
      <c r="G38" s="36"/>
      <c r="H38" s="36"/>
      <c r="I38" s="37">
        <f t="shared" si="0"/>
        <v>0</v>
      </c>
    </row>
    <row r="39" spans="5:9" x14ac:dyDescent="0.2">
      <c r="E39" s="36"/>
      <c r="F39" s="88">
        <f>'1'!I39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36"/>
      <c r="F40" s="89">
        <f>'1'!I40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H2:I2"/>
    <mergeCell ref="E2:F2"/>
    <mergeCell ref="A1:C1"/>
    <mergeCell ref="E20:I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1"/>
  <sheetViews>
    <sheetView workbookViewId="0">
      <selection activeCell="K10" sqref="K10"/>
    </sheetView>
  </sheetViews>
  <sheetFormatPr defaultColWidth="8.7421875" defaultRowHeight="15" x14ac:dyDescent="0.2"/>
  <cols>
    <col min="1" max="1" width="10.625" style="2" customWidth="1"/>
    <col min="2" max="2" width="32.28515625" style="2" customWidth="1"/>
    <col min="3" max="3" width="12.5078125" style="2" customWidth="1"/>
    <col min="4" max="4" width="2.5546875" style="2" customWidth="1"/>
    <col min="5" max="5" width="18.0234375" style="2" customWidth="1"/>
    <col min="6" max="6" width="14.66015625" style="2" customWidth="1"/>
    <col min="7" max="7" width="10.22265625" style="2" customWidth="1"/>
    <col min="8" max="8" width="18.16015625" style="2" customWidth="1"/>
    <col min="9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103"/>
      <c r="I5" s="20"/>
      <c r="K5" s="54">
        <v>3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'2'!I18</f>
        <v>-8104</v>
      </c>
      <c r="F18" s="45">
        <f>F15</f>
        <v>0</v>
      </c>
      <c r="G18" s="45">
        <f>F18+E18</f>
        <v>-8104</v>
      </c>
      <c r="H18" s="45">
        <f>C30</f>
        <v>0</v>
      </c>
      <c r="I18" s="46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8" t="s">
        <v>11</v>
      </c>
      <c r="F20" s="130"/>
      <c r="G20" s="130"/>
      <c r="H20" s="130"/>
      <c r="I20" s="131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'2'!I31</f>
        <v>0</v>
      </c>
      <c r="G31" s="36"/>
      <c r="H31" s="36"/>
      <c r="I31" s="37">
        <f t="shared" si="0"/>
        <v>0</v>
      </c>
    </row>
    <row r="32" spans="1:9" x14ac:dyDescent="0.2">
      <c r="E32" s="36"/>
      <c r="F32" s="36">
        <f>'2'!I32</f>
        <v>0</v>
      </c>
      <c r="G32" s="69"/>
      <c r="H32" s="69"/>
      <c r="I32" s="37">
        <f t="shared" si="0"/>
        <v>0</v>
      </c>
    </row>
    <row r="33" spans="5:9" x14ac:dyDescent="0.2">
      <c r="E33" s="36"/>
      <c r="F33" s="36">
        <f>'2'!I33</f>
        <v>0</v>
      </c>
      <c r="G33" s="69"/>
      <c r="H33" s="69"/>
      <c r="I33" s="37">
        <f t="shared" si="0"/>
        <v>0</v>
      </c>
    </row>
    <row r="34" spans="5:9" x14ac:dyDescent="0.2">
      <c r="E34" s="36"/>
      <c r="F34" s="36">
        <f>'2'!I34</f>
        <v>0</v>
      </c>
      <c r="G34" s="36"/>
      <c r="H34" s="36"/>
      <c r="I34" s="37">
        <f t="shared" si="0"/>
        <v>0</v>
      </c>
    </row>
    <row r="35" spans="5:9" x14ac:dyDescent="0.2">
      <c r="E35" s="36"/>
      <c r="F35" s="36">
        <f>'2'!I35</f>
        <v>0</v>
      </c>
      <c r="G35" s="36"/>
      <c r="H35" s="36"/>
      <c r="I35" s="37">
        <f t="shared" si="0"/>
        <v>0</v>
      </c>
    </row>
    <row r="36" spans="5:9" x14ac:dyDescent="0.2">
      <c r="E36" s="36"/>
      <c r="F36" s="36">
        <f>'2'!I36</f>
        <v>0</v>
      </c>
      <c r="G36" s="36"/>
      <c r="H36" s="36"/>
      <c r="I36" s="37">
        <f t="shared" si="0"/>
        <v>0</v>
      </c>
    </row>
    <row r="37" spans="5:9" x14ac:dyDescent="0.2">
      <c r="E37" s="36"/>
      <c r="F37" s="36">
        <f>'2'!I37</f>
        <v>0</v>
      </c>
      <c r="G37" s="36"/>
      <c r="H37" s="36"/>
      <c r="I37" s="37">
        <f t="shared" si="0"/>
        <v>0</v>
      </c>
    </row>
    <row r="38" spans="5:9" x14ac:dyDescent="0.2">
      <c r="E38" s="36"/>
      <c r="F38" s="36">
        <f>'2'!I38</f>
        <v>0</v>
      </c>
      <c r="G38" s="36"/>
      <c r="H38" s="36"/>
      <c r="I38" s="37">
        <f t="shared" si="0"/>
        <v>0</v>
      </c>
    </row>
    <row r="39" spans="5:9" x14ac:dyDescent="0.2">
      <c r="E39" s="36"/>
      <c r="F39" s="36">
        <f>'2'!I39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36"/>
      <c r="F40" s="45">
        <f>'2'!I40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1"/>
  <sheetViews>
    <sheetView workbookViewId="0">
      <selection activeCell="H4" sqref="H4:I5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'3'!I15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4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'3'!I18</f>
        <v>-8104</v>
      </c>
      <c r="F18" s="45">
        <f>F15</f>
        <v>0</v>
      </c>
      <c r="G18" s="45">
        <f>F18+E18</f>
        <v>-8104</v>
      </c>
      <c r="H18" s="45">
        <f>C30</f>
        <v>0</v>
      </c>
      <c r="I18" s="46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'3'!I22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'3'!I23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'3'!I24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'3'!I25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'3'!I26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'3'!I27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'3'!I28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'3'!I29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'3'!I30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'3'!I31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'3'!I32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'3'!I33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'3'!I34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'3'!I35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'3'!I36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'3'!I37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'3'!I38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'3'!I39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'3'!I40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41"/>
  <sheetViews>
    <sheetView topLeftCell="B1" workbookViewId="0">
      <selection activeCell="H29" sqref="H29"/>
    </sheetView>
  </sheetViews>
  <sheetFormatPr defaultColWidth="8.7421875" defaultRowHeight="15" x14ac:dyDescent="0.2"/>
  <cols>
    <col min="1" max="1" width="14.125" style="2" customWidth="1"/>
    <col min="2" max="2" width="46.00390625" style="2" customWidth="1"/>
    <col min="3" max="3" width="13.31640625" style="2" customWidth="1"/>
    <col min="4" max="4" width="2.28515625" style="2" customWidth="1"/>
    <col min="5" max="6" width="14.66015625" style="2" customWidth="1"/>
    <col min="7" max="7" width="12.9140625" style="2" customWidth="1"/>
    <col min="8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'4'!I15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5"/>
      <c r="B5" s="4"/>
      <c r="C5" s="5"/>
      <c r="E5" s="56" t="s">
        <v>16</v>
      </c>
      <c r="F5" s="40"/>
      <c r="G5" s="10"/>
      <c r="H5" s="21"/>
      <c r="I5" s="5"/>
      <c r="K5" s="54">
        <v>5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 t="s">
        <v>44</v>
      </c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 t="s">
        <v>45</v>
      </c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5" t="s">
        <v>46</v>
      </c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 t="s">
        <v>47</v>
      </c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 t="s">
        <v>48</v>
      </c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112" t="s">
        <v>40</v>
      </c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36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'4'!I18</f>
        <v>-8104</v>
      </c>
      <c r="F18" s="45">
        <f>F15</f>
        <v>0</v>
      </c>
      <c r="G18" s="45">
        <f>F18+E18</f>
        <v>-8104</v>
      </c>
      <c r="H18" s="45">
        <f>C30</f>
        <v>0</v>
      </c>
      <c r="I18" s="46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'4'!I22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'4'!I23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'4'!I24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'4'!I25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'4'!I26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'4'!I27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'4'!I28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'4'!I29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'4'!I30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'4'!I31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'4'!I32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'4'!I33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'4'!I34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'4'!I35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'4'!I36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'4'!I37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'4'!I38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'4'!I39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'4'!I40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41"/>
  <sheetViews>
    <sheetView topLeftCell="A7" workbookViewId="0">
      <selection activeCell="H4" sqref="H4:I5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'5'!I15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6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31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'5'!I18</f>
        <v>-8104</v>
      </c>
      <c r="F18" s="45">
        <f>F15</f>
        <v>0</v>
      </c>
      <c r="G18" s="45">
        <f>F18+E18</f>
        <v>-8104</v>
      </c>
      <c r="H18" s="45">
        <f>C30</f>
        <v>0</v>
      </c>
      <c r="I18" s="46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'5'!I22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'5'!I23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'5'!I24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'5'!I25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'5'!I26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'5'!I27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'5'!I28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'5'!I29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'5'!I30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'5'!I31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'5'!I32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'5'!I33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'5'!I34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'5'!I35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'5'!I36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'5'!I37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'5'!I38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'5'!I39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'5'!I40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43"/>
  <sheetViews>
    <sheetView topLeftCell="B1" workbookViewId="0">
      <selection activeCell="F3" sqref="F3:F7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 t="s">
        <v>43</v>
      </c>
      <c r="B3" s="4"/>
      <c r="C3" s="5"/>
      <c r="E3" s="55" t="s">
        <v>27</v>
      </c>
      <c r="F3" s="38"/>
      <c r="G3" s="10"/>
      <c r="H3" s="64" t="s">
        <v>32</v>
      </c>
      <c r="I3" s="17">
        <f>'6'!I15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7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50">
        <f>'6'!I18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'6'!I22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'6'!I23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'6'!I24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'6'!I25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'6'!I26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'6'!I27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'6'!I28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'6'!I29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'6'!I30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'6'!I31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'6'!I32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'6'!I33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'6'!I34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'6'!I35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'6'!I36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'6'!I37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'6'!I38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'6'!I39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'6'!I40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  <row r="43" spans="5:9" x14ac:dyDescent="0.2">
      <c r="E43" s="29"/>
      <c r="F43" s="29"/>
      <c r="G43" s="29"/>
      <c r="H43" s="29"/>
      <c r="I43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41"/>
  <sheetViews>
    <sheetView workbookViewId="0">
      <selection activeCell="B34" sqref="B34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'7'!I15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8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'7'!I18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77"/>
      <c r="F22" s="78">
        <f>'7'!I22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5"/>
      <c r="F23" s="36">
        <f>'7'!I23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5"/>
      <c r="F24" s="36">
        <f>'7'!I24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5"/>
      <c r="F25" s="36">
        <f>'7'!I25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63"/>
      <c r="F26" s="36">
        <f>'7'!I26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63"/>
      <c r="F27" s="36">
        <f>'7'!I27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63"/>
      <c r="F28" s="36">
        <f>'7'!I28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36">
        <f>'7'!I29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5"/>
      <c r="F30" s="36">
        <f>'7'!I30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'7'!I31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'7'!I32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'7'!I33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'7'!I34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'7'!I35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'7'!I36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'7'!I37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'7'!I38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'7'!I39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'7'!I40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42"/>
  <sheetViews>
    <sheetView workbookViewId="0">
      <selection activeCell="H4" sqref="H4:I6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'8'!I15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9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8" t="s">
        <v>3</v>
      </c>
      <c r="F15" s="39">
        <f>SUM(F3:F14)</f>
        <v>0</v>
      </c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'8'!I18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'8'!I22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'8'!I23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'8'!I24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'8'!I25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'8'!I26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'8'!I27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'8'!I28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'8'!I29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'8'!I30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'8'!I31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'8'!I32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'8'!I33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'8'!I34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'8'!I35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'8'!I36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'8'!I37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'8'!I38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'8'!I39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'8'!I40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42"/>
  <sheetViews>
    <sheetView topLeftCell="A13" workbookViewId="0">
      <selection activeCell="G22" sqref="G22:H28"/>
    </sheetView>
  </sheetViews>
  <sheetFormatPr defaultColWidth="8.7421875" defaultRowHeight="15" x14ac:dyDescent="0.2"/>
  <cols>
    <col min="1" max="1" width="14.125" style="2" customWidth="1"/>
    <col min="2" max="2" width="37.2617187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104"/>
      <c r="B3" s="4"/>
      <c r="C3" s="5"/>
      <c r="E3" s="55" t="s">
        <v>27</v>
      </c>
      <c r="F3" s="38"/>
      <c r="G3" s="10"/>
      <c r="H3" s="16" t="s">
        <v>32</v>
      </c>
      <c r="I3" s="17">
        <f>'9'!I15</f>
        <v>102056</v>
      </c>
    </row>
    <row r="4" spans="1:24" x14ac:dyDescent="0.2">
      <c r="A4" s="104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104"/>
      <c r="B5" s="4"/>
      <c r="C5" s="5"/>
      <c r="E5" s="56" t="s">
        <v>16</v>
      </c>
      <c r="F5" s="40"/>
      <c r="G5" s="10"/>
      <c r="H5" s="21"/>
      <c r="I5" s="5"/>
      <c r="K5" s="54">
        <v>10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104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104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104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104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104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104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104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104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104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104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104"/>
      <c r="B16" s="4"/>
      <c r="C16" s="5"/>
    </row>
    <row r="17" spans="1:9" x14ac:dyDescent="0.2">
      <c r="A17" s="104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'9'!I18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'9'!I22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'9'!I23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'9'!I24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'9'!I25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'9'!I26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'9'!I27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'9'!I28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'9'!I29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'9'!I30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'9'!I31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'9'!I32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'9'!I33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'9'!I34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'9'!I35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'9'!I36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'9'!I37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'9'!I38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'9'!I39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'9'!I40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41"/>
  <sheetViews>
    <sheetView workbookViewId="0">
      <selection activeCell="F3" sqref="F3:F7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'10'!I15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11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'10'!I18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'10'!I22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'10'!I23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'10'!I24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'10'!I25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'10'!I26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'10'!I27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'10'!I28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'10'!I29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'10'!I30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'10'!I31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'10'!I32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'10'!I33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'10'!I34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'10'!I35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'10'!I36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'10'!I37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'10'!I38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'10'!I39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'10'!I40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43"/>
  <sheetViews>
    <sheetView workbookViewId="0">
      <selection activeCell="F3" sqref="F3:F8"/>
    </sheetView>
  </sheetViews>
  <sheetFormatPr defaultColWidth="8.7421875" defaultRowHeight="15" x14ac:dyDescent="0.2"/>
  <cols>
    <col min="1" max="1" width="7.93359375" style="2" customWidth="1"/>
    <col min="2" max="2" width="50.3085937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16" t="s">
        <v>32</v>
      </c>
      <c r="I3" s="17">
        <f>'11'!I15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12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'11'!I18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'11'!I22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'11'!I23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'11'!I24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'11'!I25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'11'!I26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'11'!I27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'11'!I28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'11'!I29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'11'!I30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'11'!I31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'11'!I32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'11'!I33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'11'!I34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'11'!I35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'11'!I36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'11'!I37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'11'!I38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'11'!I39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'11'!I40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  <row r="43" spans="5:9" x14ac:dyDescent="0.2">
      <c r="E43" s="29"/>
      <c r="F43" s="29"/>
      <c r="G43" s="29"/>
      <c r="H43" s="29"/>
      <c r="I43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41"/>
  <sheetViews>
    <sheetView workbookViewId="0">
      <selection activeCell="G32" sqref="G32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3"/>
      <c r="C3" s="5"/>
      <c r="E3" s="55" t="s">
        <v>27</v>
      </c>
      <c r="F3" s="38"/>
      <c r="G3" s="10"/>
      <c r="H3" s="64" t="s">
        <v>32</v>
      </c>
      <c r="I3" s="17">
        <f>'12'!I15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13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'12'!I18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'12'!I22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'12'!I23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'12'!I24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'12'!I25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'12'!I26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'12'!I27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'12'!I28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'12'!I29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'12'!I30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'12'!I31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'12'!I32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'12'!I33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'12'!I34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'12'!I35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'12'!I36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'12'!I37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'12'!I38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'12'!I39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'12'!I40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X42"/>
  <sheetViews>
    <sheetView workbookViewId="0">
      <selection activeCell="B3" sqref="B3:C4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'13'!I15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14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'13'!I18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'13'!I22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'13'!I23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'13'!I24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'13'!I25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'13'!I26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'13'!I27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'13'!I28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'13'!I29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'13'!I30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'13'!I31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'13'!I32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'13'!I33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'13'!I34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'13'!I35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'13'!I36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'13'!I37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'13'!I38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'13'!I39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'13'!I40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X41"/>
  <sheetViews>
    <sheetView workbookViewId="0">
      <selection activeCell="A36" sqref="A36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'14'!I15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15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'14'!I18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77"/>
      <c r="F22" s="78">
        <f>'14'!I22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5"/>
      <c r="F23" s="36">
        <f>'14'!I23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5"/>
      <c r="F24" s="36">
        <f>'14'!I24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5"/>
      <c r="F25" s="36">
        <f>'14'!I25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63"/>
      <c r="F26" s="36">
        <f>'14'!I26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63"/>
      <c r="F27" s="36">
        <f>'14'!I27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63"/>
      <c r="F28" s="36">
        <f>'14'!I28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36">
        <f>'14'!I29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5"/>
      <c r="F30" s="36">
        <f>'14'!I30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'14'!I31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'14'!I32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'14'!I33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'14'!I34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'14'!I35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'14'!I36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'14'!I37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'14'!I38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'14'!I39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'14'!I40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X41"/>
  <sheetViews>
    <sheetView workbookViewId="0">
      <selection activeCell="A3" sqref="A3:C7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'15'!I15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16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'15'!I18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'15'!I22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'15'!I23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'15'!I24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'15'!I25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'15'!I26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'15'!I27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'15'!I28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'15'!I29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'15'!I30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'15'!I31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'15'!I32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'15'!I33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'15'!I34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'15'!I35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'15'!I36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'15'!I37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'15'!I38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'15'!I39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'15'!I40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X41"/>
  <sheetViews>
    <sheetView workbookViewId="0">
      <selection activeCell="G23" sqref="G23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'16'!I15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17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'16'!I18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'16'!I22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'16'!I23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'16'!I24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'16'!I25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'16'!I26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'16'!I27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'16'!I28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'16'!I29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'16'!I30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'16'!I31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'16'!I32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'16'!I33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'16'!I34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'16'!I35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'16'!I36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'16'!I37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'16'!I38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'16'!I39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'16'!I40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X41"/>
  <sheetViews>
    <sheetView workbookViewId="0">
      <selection activeCell="F3" sqref="F3:F7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7" width="14.66015625" style="2" customWidth="1"/>
    <col min="8" max="8" width="20.984375" style="2" customWidth="1"/>
    <col min="9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'17'!I15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18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'17'!I18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'17'!I22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'17'!I23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'17'!I24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'17'!I25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'17'!I26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'17'!I27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'17'!I28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'17'!I29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'17'!I30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'17'!I31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'17'!I32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'17'!I33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'17'!I34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'17'!I35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'17'!I36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'17'!I37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'17'!I38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'17'!I39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'17'!I40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X41"/>
  <sheetViews>
    <sheetView workbookViewId="0">
      <selection activeCell="H4" sqref="H4:I6"/>
    </sheetView>
  </sheetViews>
  <sheetFormatPr defaultColWidth="8.7421875" defaultRowHeight="15" x14ac:dyDescent="0.2"/>
  <cols>
    <col min="1" max="1" width="14.125" style="2" customWidth="1"/>
    <col min="2" max="2" width="45.33203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113"/>
      <c r="C3" s="5"/>
      <c r="E3" s="55" t="s">
        <v>27</v>
      </c>
      <c r="F3" s="38"/>
      <c r="G3" s="10"/>
      <c r="H3" s="64" t="s">
        <v>32</v>
      </c>
      <c r="I3" s="17">
        <f>'18'!I15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19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'18'!I18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'18'!I22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'18'!I23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'18'!I24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'18'!I25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'18'!I26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'18'!I27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'18'!I28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'18'!I29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'18'!I30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'18'!I31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'18'!I32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'18'!I33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'18'!I34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'18'!I35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'18'!I36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'18'!I37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'18'!I38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'18'!I39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'18'!I40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41"/>
  <sheetViews>
    <sheetView workbookViewId="0">
      <selection activeCell="G29" sqref="G29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'19'!I15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20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'19'!I18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'19'!I22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'19'!I23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'19'!I24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'19'!I25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'19'!I26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'19'!I27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'19'!I28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'19'!I29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'19'!I30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'19'!I31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'19'!I32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'19'!I33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'19'!I34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'19'!I35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'19'!I36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'19'!I37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'19'!I38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'19'!I39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'19'!I40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X42"/>
  <sheetViews>
    <sheetView workbookViewId="0">
      <selection activeCell="A3" sqref="A3:C3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'20'!I15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21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'20'!I18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73" t="s">
        <v>1</v>
      </c>
      <c r="F21" s="74" t="s">
        <v>12</v>
      </c>
      <c r="G21" s="73" t="s">
        <v>13</v>
      </c>
      <c r="H21" s="75" t="s">
        <v>14</v>
      </c>
      <c r="I21" s="74" t="s">
        <v>15</v>
      </c>
    </row>
    <row r="22" spans="1:9" ht="15.75" customHeight="1" x14ac:dyDescent="0.2">
      <c r="A22" s="3"/>
      <c r="B22" s="4"/>
      <c r="C22" s="5"/>
      <c r="E22" s="36"/>
      <c r="F22" s="78">
        <f>'20'!I22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'20'!I23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'20'!I24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'20'!I25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'20'!I26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'20'!I27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'20'!I28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'20'!I29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'20'!I30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'20'!I31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'20'!I32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'20'!I33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'20'!I34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'20'!I35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'20'!I36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'20'!I37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'20'!I38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'20'!I39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'20'!I40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X42"/>
  <sheetViews>
    <sheetView workbookViewId="0">
      <selection activeCell="B34" sqref="B34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'21'!I15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22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'21'!I18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77"/>
      <c r="F22" s="78">
        <f>'21'!I22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5"/>
      <c r="F23" s="36">
        <f>'21'!I23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5"/>
      <c r="F24" s="36">
        <f>'21'!I24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5"/>
      <c r="F25" s="36">
        <f>'21'!I25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63"/>
      <c r="F26" s="36">
        <f>'21'!I26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63"/>
      <c r="F27" s="36">
        <f>'21'!I27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63"/>
      <c r="F28" s="36">
        <f>'21'!I28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36">
        <f>'21'!I29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5"/>
      <c r="F30" s="36">
        <f>'21'!I30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'21'!I31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'21'!I32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'21'!I33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'21'!I34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'21'!I35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'21'!I36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'21'!I37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'21'!I38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'21'!I39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'21'!I40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  <row r="42" spans="5:9" x14ac:dyDescent="0.2">
      <c r="E42" s="29"/>
      <c r="F42" s="29"/>
      <c r="G42" s="29"/>
      <c r="H42" s="29"/>
      <c r="I42" s="29"/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X41"/>
  <sheetViews>
    <sheetView workbookViewId="0">
      <selection activeCell="B12" sqref="B12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'22'!I15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23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'22'!I18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'22'!I22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'22'!I23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'22'!I24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'22'!I25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'22'!I26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'22'!I27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'22'!I28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'22'!I29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'22'!I30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'22'!I31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'22'!I32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'22'!I33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'22'!I34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'22'!I35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'22'!I36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'22'!I37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'22'!I38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'22'!I39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'22'!I40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AA41"/>
  <sheetViews>
    <sheetView workbookViewId="0">
      <selection activeCell="B3" sqref="B3:C4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7" width="8.7421875" style="67"/>
    <col min="28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'23'!I15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24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'23'!I18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'23'!I22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'23'!I23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'23'!I24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'23'!I25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'23'!I26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'23'!I27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'23'!I28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'23'!I29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'23'!I30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'23'!I31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'23'!I32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'23'!I33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'23'!I34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'23'!I35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'23'!I36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'23'!I37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'23'!I38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'23'!I39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'23'!I40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X41"/>
  <sheetViews>
    <sheetView workbookViewId="0">
      <selection activeCell="H4" sqref="H4:I7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7" width="14.66015625" style="2" customWidth="1"/>
    <col min="8" max="8" width="19.7734375" style="2" customWidth="1"/>
    <col min="9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'24'!I15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25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ht="15.75" thickBot="1" x14ac:dyDescent="0.25">
      <c r="A18" s="3"/>
      <c r="B18" s="4"/>
      <c r="C18" s="5"/>
      <c r="E18" s="44">
        <f>'24'!I18</f>
        <v>-8104</v>
      </c>
      <c r="F18" s="45">
        <f>F15</f>
        <v>0</v>
      </c>
      <c r="G18" s="86">
        <f>F18+E18</f>
        <v>-8104</v>
      </c>
      <c r="H18" s="86">
        <f>C30</f>
        <v>0</v>
      </c>
      <c r="I18" s="87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'24'!I22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'24'!I23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'24'!I24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'24'!I25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'24'!I26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'24'!I27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'24'!I28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'24'!I29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'24'!I30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'24'!I31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'24'!I32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'24'!I33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'24'!I34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'24'!I35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'24'!I36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'24'!I37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'24'!I38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'24'!I39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'24'!I40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X41"/>
  <sheetViews>
    <sheetView workbookViewId="0">
      <selection activeCell="H32" sqref="H32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875" style="52" customWidth="1"/>
    <col min="23" max="23" width="8.875" style="67" customWidth="1"/>
    <col min="24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'25'!I15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26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ht="15.75" thickBot="1" x14ac:dyDescent="0.25">
      <c r="A18" s="3"/>
      <c r="B18" s="4"/>
      <c r="C18" s="5"/>
      <c r="E18" s="44">
        <f>'25'!I18</f>
        <v>-8104</v>
      </c>
      <c r="F18" s="45">
        <f>F15</f>
        <v>0</v>
      </c>
      <c r="G18" s="86">
        <f>F18+E18</f>
        <v>-8104</v>
      </c>
      <c r="H18" s="86">
        <f>C30</f>
        <v>0</v>
      </c>
      <c r="I18" s="87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'25'!I22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'25'!I23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'25'!I24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'25'!I25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'25'!I26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'25'!I27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'25'!I28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'25'!I29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'25'!I30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'25'!I31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'25'!I32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'25'!I33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'25'!I34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'25'!I35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'25'!I36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'25'!I37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'25'!I38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'25'!I39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'25'!I40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X41"/>
  <sheetViews>
    <sheetView workbookViewId="0">
      <selection activeCell="H4" sqref="H4:I5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'26'!I15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27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'26'!I18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'26'!I22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'26'!I23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'26'!I24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'26'!I25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'26'!I26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'26'!I27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'26'!I28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'26'!I29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'26'!I30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'26'!I31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'26'!I32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'26'!I33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'26'!I34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'26'!I35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'26'!I36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'26'!I37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'26'!I38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'26'!I39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'26'!I40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41"/>
  <sheetViews>
    <sheetView workbookViewId="0">
      <selection activeCell="F4" sqref="F4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'27'!I15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28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'27'!I18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'27'!I22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'27'!I23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/>
      <c r="F24" s="36">
        <f>'27'!I24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'27'!I25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'27'!I26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'27'!I27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/>
      <c r="F28" s="36">
        <f>'27'!I28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/>
      <c r="F29" s="36">
        <f>'27'!I29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6"/>
      <c r="F30" s="36">
        <f>'27'!I30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'27'!I31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'27'!I32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'27'!I33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'27'!I34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'27'!I35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'27'!I36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'27'!I37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'27'!I38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'27'!I39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'27'!I40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X41"/>
  <sheetViews>
    <sheetView topLeftCell="B1" workbookViewId="0">
      <selection activeCell="E22" sqref="E22:E31"/>
    </sheetView>
  </sheetViews>
  <sheetFormatPr defaultColWidth="8.7421875" defaultRowHeight="15" x14ac:dyDescent="0.2"/>
  <cols>
    <col min="1" max="1" width="14.125" style="2" customWidth="1"/>
    <col min="2" max="2" width="43.316406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'28'!I15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29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'28'!I18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'28'!I22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'28'!I23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69"/>
      <c r="F24" s="36">
        <f>'28'!I24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'28'!I25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'28'!I26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'28'!I27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36"/>
      <c r="F28" s="36">
        <f>'28'!I28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36">
        <f>'28'!I29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5"/>
      <c r="F30" s="36">
        <f>'28'!I30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'28'!I31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'28'!I32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'28'!I33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'28'!I34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'28'!I35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'28'!I36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'28'!I37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'28'!I38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'28'!I39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'28'!I40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X41"/>
  <sheetViews>
    <sheetView workbookViewId="0">
      <selection activeCell="E22" sqref="E22:E32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'29'!I15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30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7" t="s">
        <v>32</v>
      </c>
      <c r="F17" s="8" t="s">
        <v>8</v>
      </c>
      <c r="G17" s="8" t="s">
        <v>3</v>
      </c>
      <c r="H17" s="8" t="s">
        <v>4</v>
      </c>
      <c r="I17" s="9" t="s">
        <v>5</v>
      </c>
    </row>
    <row r="18" spans="1:9" ht="15.75" thickBot="1" x14ac:dyDescent="0.25">
      <c r="A18" s="3"/>
      <c r="B18" s="4"/>
      <c r="C18" s="5"/>
      <c r="E18" s="6">
        <f>'29'!I18</f>
        <v>-8104</v>
      </c>
      <c r="F18" s="45">
        <f>F15</f>
        <v>0</v>
      </c>
      <c r="G18" s="51">
        <f>F18+E18</f>
        <v>-8104</v>
      </c>
      <c r="H18" s="51">
        <f>C30</f>
        <v>0</v>
      </c>
      <c r="I18" s="85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'29'!I22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'29'!I23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69"/>
      <c r="F24" s="36">
        <f>'29'!I24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'29'!I25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'29'!I26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'29'!I27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36"/>
      <c r="F28" s="36">
        <f>'29'!I28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36">
        <f>'29'!I29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5"/>
      <c r="F30" s="36">
        <f>'29'!I30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'29'!I31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'29'!I32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'29'!I33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'29'!I34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'29'!I35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'29'!I36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'29'!I37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'29'!I38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'29'!I39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'29'!I40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X41"/>
  <sheetViews>
    <sheetView workbookViewId="0">
      <selection activeCell="E22" sqref="E22:E31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31" t="s">
        <v>1</v>
      </c>
      <c r="B2" s="32" t="s">
        <v>9</v>
      </c>
      <c r="C2" s="33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/>
      <c r="C3" s="5"/>
      <c r="E3" s="55" t="s">
        <v>27</v>
      </c>
      <c r="F3" s="38"/>
      <c r="G3" s="10"/>
      <c r="H3" s="64" t="s">
        <v>32</v>
      </c>
      <c r="I3" s="17">
        <f>'30'!I15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31</v>
      </c>
      <c r="L5" s="52">
        <f>F3</f>
        <v>0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0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0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31" t="s">
        <v>32</v>
      </c>
      <c r="F17" s="32" t="s">
        <v>8</v>
      </c>
      <c r="G17" s="32" t="s">
        <v>3</v>
      </c>
      <c r="H17" s="32" t="s">
        <v>4</v>
      </c>
      <c r="I17" s="33" t="s">
        <v>5</v>
      </c>
    </row>
    <row r="18" spans="1:9" ht="15.75" thickBot="1" x14ac:dyDescent="0.25">
      <c r="A18" s="3"/>
      <c r="B18" s="4"/>
      <c r="C18" s="5"/>
      <c r="E18" s="44">
        <f>'30'!I18</f>
        <v>-8104</v>
      </c>
      <c r="F18" s="45">
        <f>F15</f>
        <v>0</v>
      </c>
      <c r="G18" s="86">
        <f>F18+E18</f>
        <v>-8104</v>
      </c>
      <c r="H18" s="86">
        <f>C30</f>
        <v>0</v>
      </c>
      <c r="I18" s="87">
        <f>G18-H18</f>
        <v>-8104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/>
      <c r="F22" s="78">
        <f>'30'!I22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/>
      <c r="F23" s="36">
        <f>'30'!I23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69"/>
      <c r="F24" s="36">
        <f>'30'!I24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/>
      <c r="F25" s="36">
        <f>'30'!I25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/>
      <c r="F26" s="36">
        <f>'30'!I26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/>
      <c r="F27" s="36">
        <f>'30'!I27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36"/>
      <c r="F28" s="36">
        <f>'30'!I28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5"/>
      <c r="F29" s="36">
        <f>'30'!I29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0</v>
      </c>
      <c r="E30" s="35"/>
      <c r="F30" s="36">
        <f>'30'!I30</f>
        <v>5000</v>
      </c>
      <c r="G30" s="36"/>
      <c r="H30" s="36"/>
      <c r="I30" s="37">
        <f t="shared" si="0"/>
        <v>5000</v>
      </c>
    </row>
    <row r="31" spans="1:9" x14ac:dyDescent="0.2">
      <c r="E31" s="35"/>
      <c r="F31" s="36">
        <f>'30'!I31</f>
        <v>0</v>
      </c>
      <c r="G31" s="36"/>
      <c r="H31" s="36"/>
      <c r="I31" s="37">
        <f t="shared" si="0"/>
        <v>0</v>
      </c>
    </row>
    <row r="32" spans="1:9" x14ac:dyDescent="0.2">
      <c r="E32" s="63"/>
      <c r="F32" s="36">
        <f>'30'!I32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'30'!I33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'30'!I34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'30'!I35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'30'!I36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'30'!I37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'30'!I38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'30'!I39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'30'!I40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30:B30"/>
    <mergeCell ref="E2:F2"/>
    <mergeCell ref="H2:I2"/>
    <mergeCell ref="A1:C1"/>
    <mergeCell ref="E20:I20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41"/>
  <sheetViews>
    <sheetView topLeftCell="B1" workbookViewId="0">
      <selection activeCell="L23" sqref="L23"/>
    </sheetView>
  </sheetViews>
  <sheetFormatPr defaultColWidth="8.7421875" defaultRowHeight="15" x14ac:dyDescent="0.2"/>
  <cols>
    <col min="1" max="1" width="14.125" style="2" customWidth="1"/>
    <col min="2" max="2" width="40.7578125" style="2" customWidth="1"/>
    <col min="3" max="3" width="13.31640625" style="2" customWidth="1"/>
    <col min="4" max="4" width="2.28515625" style="2" customWidth="1"/>
    <col min="5" max="9" width="14.66015625" style="2" customWidth="1"/>
    <col min="10" max="10" width="8.7421875" style="2"/>
    <col min="11" max="22" width="8.7421875" style="52"/>
    <col min="23" max="24" width="8.7421875" style="67"/>
    <col min="25" max="16384" width="8.7421875" style="2"/>
  </cols>
  <sheetData>
    <row r="1" spans="1:24" ht="15.75" thickBot="1" x14ac:dyDescent="0.25">
      <c r="A1" s="121" t="s">
        <v>23</v>
      </c>
      <c r="B1" s="122"/>
      <c r="C1" s="123"/>
      <c r="E1" s="1"/>
      <c r="F1" s="1"/>
      <c r="G1" s="1"/>
      <c r="H1" s="1"/>
      <c r="I1" s="1"/>
    </row>
    <row r="2" spans="1:24" ht="15.75" thickBot="1" x14ac:dyDescent="0.25">
      <c r="A2" s="105" t="s">
        <v>1</v>
      </c>
      <c r="B2" s="32" t="s">
        <v>9</v>
      </c>
      <c r="C2" s="106" t="s">
        <v>2</v>
      </c>
      <c r="E2" s="114" t="s">
        <v>22</v>
      </c>
      <c r="F2" s="115"/>
      <c r="G2" s="10"/>
      <c r="H2" s="128" t="s">
        <v>7</v>
      </c>
      <c r="I2" s="129"/>
    </row>
    <row r="3" spans="1:24" ht="15.75" thickBot="1" x14ac:dyDescent="0.25">
      <c r="A3" s="3"/>
      <c r="B3" s="4" t="s">
        <v>50</v>
      </c>
      <c r="C3" s="5">
        <v>7800</v>
      </c>
      <c r="E3" s="55" t="s">
        <v>27</v>
      </c>
      <c r="F3" s="38">
        <v>14806</v>
      </c>
      <c r="G3" s="10"/>
      <c r="H3" s="64" t="s">
        <v>32</v>
      </c>
      <c r="I3" s="17">
        <f>'30'!I15</f>
        <v>102056</v>
      </c>
    </row>
    <row r="4" spans="1:24" x14ac:dyDescent="0.2">
      <c r="A4" s="3"/>
      <c r="B4" s="4"/>
      <c r="C4" s="5"/>
      <c r="E4" s="56" t="s">
        <v>28</v>
      </c>
      <c r="F4" s="40"/>
      <c r="G4" s="10"/>
      <c r="H4" s="19"/>
      <c r="I4" s="20"/>
      <c r="K4" s="53" t="s">
        <v>0</v>
      </c>
      <c r="L4" s="53" t="s">
        <v>27</v>
      </c>
      <c r="M4" s="53" t="s">
        <v>28</v>
      </c>
      <c r="N4" s="53" t="s">
        <v>16</v>
      </c>
      <c r="O4" s="53" t="s">
        <v>29</v>
      </c>
      <c r="P4" s="53" t="s">
        <v>18</v>
      </c>
      <c r="Q4" s="53" t="s">
        <v>19</v>
      </c>
      <c r="R4" s="53" t="s">
        <v>17</v>
      </c>
      <c r="S4" s="53" t="s">
        <v>20</v>
      </c>
      <c r="T4" s="53" t="s">
        <v>31</v>
      </c>
      <c r="U4" s="53" t="s">
        <v>30</v>
      </c>
      <c r="V4" s="53" t="s">
        <v>21</v>
      </c>
      <c r="W4" s="53" t="s">
        <v>21</v>
      </c>
      <c r="X4" s="53" t="s">
        <v>10</v>
      </c>
    </row>
    <row r="5" spans="1:24" x14ac:dyDescent="0.2">
      <c r="A5" s="3"/>
      <c r="B5" s="4"/>
      <c r="C5" s="5"/>
      <c r="E5" s="56" t="s">
        <v>16</v>
      </c>
      <c r="F5" s="40"/>
      <c r="G5" s="10"/>
      <c r="H5" s="21"/>
      <c r="I5" s="5"/>
      <c r="K5" s="54">
        <v>31</v>
      </c>
      <c r="L5" s="52">
        <f>F3</f>
        <v>14806</v>
      </c>
      <c r="M5" s="52">
        <f>F4</f>
        <v>0</v>
      </c>
      <c r="N5" s="52">
        <f>F5</f>
        <v>0</v>
      </c>
      <c r="O5" s="52">
        <f>F6</f>
        <v>0</v>
      </c>
      <c r="P5" s="52">
        <f>F7</f>
        <v>0</v>
      </c>
      <c r="Q5" s="52">
        <f>F8</f>
        <v>0</v>
      </c>
      <c r="R5" s="52">
        <f>F9</f>
        <v>0</v>
      </c>
      <c r="S5" s="52">
        <f>F10</f>
        <v>0</v>
      </c>
      <c r="T5" s="52">
        <f>F11</f>
        <v>0</v>
      </c>
      <c r="U5" s="52">
        <f>F12</f>
        <v>0</v>
      </c>
      <c r="V5" s="52">
        <f>F13</f>
        <v>0</v>
      </c>
      <c r="W5" s="52">
        <f>F14</f>
        <v>0</v>
      </c>
      <c r="X5" s="52">
        <f>SUM(L5:W5)</f>
        <v>14806</v>
      </c>
    </row>
    <row r="6" spans="1:24" x14ac:dyDescent="0.2">
      <c r="A6" s="3"/>
      <c r="B6" s="4"/>
      <c r="C6" s="5"/>
      <c r="E6" s="56" t="s">
        <v>24</v>
      </c>
      <c r="F6" s="40"/>
      <c r="G6" s="10"/>
      <c r="H6" s="21"/>
      <c r="I6" s="5"/>
    </row>
    <row r="7" spans="1:24" x14ac:dyDescent="0.2">
      <c r="A7" s="3"/>
      <c r="B7" s="4"/>
      <c r="C7" s="5"/>
      <c r="E7" s="56" t="s">
        <v>18</v>
      </c>
      <c r="F7" s="40"/>
      <c r="G7" s="11"/>
      <c r="H7" s="21"/>
      <c r="I7" s="5"/>
    </row>
    <row r="8" spans="1:24" x14ac:dyDescent="0.2">
      <c r="A8" s="3"/>
      <c r="B8" s="4"/>
      <c r="C8" s="5"/>
      <c r="E8" s="56" t="s">
        <v>19</v>
      </c>
      <c r="F8" s="40"/>
      <c r="G8" s="11"/>
      <c r="H8" s="21"/>
      <c r="I8" s="5"/>
    </row>
    <row r="9" spans="1:24" x14ac:dyDescent="0.2">
      <c r="A9" s="3"/>
      <c r="B9" s="4"/>
      <c r="C9" s="5"/>
      <c r="E9" s="56" t="s">
        <v>17</v>
      </c>
      <c r="F9" s="40"/>
      <c r="G9" s="11"/>
      <c r="H9" s="21"/>
      <c r="I9" s="5"/>
    </row>
    <row r="10" spans="1:24" x14ac:dyDescent="0.2">
      <c r="A10" s="3"/>
      <c r="B10" s="4"/>
      <c r="C10" s="5"/>
      <c r="E10" s="56" t="s">
        <v>20</v>
      </c>
      <c r="F10" s="40"/>
      <c r="G10" s="11"/>
      <c r="H10" s="21"/>
      <c r="I10" s="5"/>
    </row>
    <row r="11" spans="1:24" x14ac:dyDescent="0.2">
      <c r="A11" s="3"/>
      <c r="B11" s="4"/>
      <c r="C11" s="5"/>
      <c r="E11" s="56" t="s">
        <v>25</v>
      </c>
      <c r="F11" s="40"/>
      <c r="G11" s="11"/>
      <c r="H11" s="22"/>
      <c r="I11" s="18"/>
    </row>
    <row r="12" spans="1:24" x14ac:dyDescent="0.2">
      <c r="A12" s="3"/>
      <c r="B12" s="4"/>
      <c r="C12" s="5"/>
      <c r="E12" s="56" t="s">
        <v>26</v>
      </c>
      <c r="F12" s="40"/>
      <c r="G12" s="11"/>
      <c r="H12" s="22"/>
      <c r="I12" s="18"/>
    </row>
    <row r="13" spans="1:24" x14ac:dyDescent="0.2">
      <c r="A13" s="3"/>
      <c r="B13" s="4"/>
      <c r="C13" s="5"/>
      <c r="E13" s="56" t="s">
        <v>21</v>
      </c>
      <c r="F13" s="40"/>
      <c r="G13" s="11"/>
      <c r="H13" s="22"/>
      <c r="I13" s="18"/>
    </row>
    <row r="14" spans="1:24" ht="15.75" thickBot="1" x14ac:dyDescent="0.25">
      <c r="A14" s="3"/>
      <c r="B14" s="4"/>
      <c r="C14" s="5"/>
      <c r="E14" s="57" t="s">
        <v>21</v>
      </c>
      <c r="F14" s="58"/>
      <c r="G14" s="11"/>
      <c r="H14" s="22"/>
      <c r="I14" s="18"/>
    </row>
    <row r="15" spans="1:24" ht="15.75" thickBot="1" x14ac:dyDescent="0.25">
      <c r="A15" s="3"/>
      <c r="B15" s="4"/>
      <c r="C15" s="5"/>
      <c r="E15" s="64" t="s">
        <v>3</v>
      </c>
      <c r="F15" s="39">
        <f>SUM(F3:F14)</f>
        <v>14806</v>
      </c>
      <c r="G15" s="29"/>
      <c r="H15" s="65" t="s">
        <v>3</v>
      </c>
      <c r="I15" s="43">
        <f>SUM(I3:I14)</f>
        <v>102056</v>
      </c>
    </row>
    <row r="16" spans="1:24" ht="15.75" thickBot="1" x14ac:dyDescent="0.25">
      <c r="A16" s="3"/>
      <c r="B16" s="4"/>
      <c r="C16" s="5"/>
    </row>
    <row r="17" spans="1:9" x14ac:dyDescent="0.2">
      <c r="A17" s="3"/>
      <c r="B17" s="4"/>
      <c r="C17" s="5"/>
      <c r="E17" s="105" t="s">
        <v>32</v>
      </c>
      <c r="F17" s="32" t="s">
        <v>8</v>
      </c>
      <c r="G17" s="32" t="s">
        <v>3</v>
      </c>
      <c r="H17" s="32" t="s">
        <v>4</v>
      </c>
      <c r="I17" s="106" t="s">
        <v>5</v>
      </c>
    </row>
    <row r="18" spans="1:9" ht="15.75" thickBot="1" x14ac:dyDescent="0.25">
      <c r="A18" s="3"/>
      <c r="B18" s="4"/>
      <c r="C18" s="5"/>
      <c r="E18" s="44">
        <f>'31'!I18</f>
        <v>-8104</v>
      </c>
      <c r="F18" s="45">
        <f>F15</f>
        <v>14806</v>
      </c>
      <c r="G18" s="86">
        <f>F18+E18</f>
        <v>6702</v>
      </c>
      <c r="H18" s="86">
        <f>C30</f>
        <v>7800</v>
      </c>
      <c r="I18" s="87">
        <f>G18-H18</f>
        <v>-1098</v>
      </c>
    </row>
    <row r="19" spans="1:9" ht="15.75" thickBot="1" x14ac:dyDescent="0.25">
      <c r="A19" s="3"/>
      <c r="B19" s="4"/>
      <c r="C19" s="5"/>
    </row>
    <row r="20" spans="1:9" ht="15" customHeight="1" thickBot="1" x14ac:dyDescent="0.25">
      <c r="A20" s="3"/>
      <c r="B20" s="4"/>
      <c r="C20" s="5"/>
      <c r="E20" s="116" t="s">
        <v>11</v>
      </c>
      <c r="F20" s="120"/>
      <c r="G20" s="120"/>
      <c r="H20" s="120"/>
      <c r="I20" s="117"/>
    </row>
    <row r="21" spans="1:9" ht="15.75" thickBot="1" x14ac:dyDescent="0.25">
      <c r="A21" s="3"/>
      <c r="B21" s="4"/>
      <c r="C21" s="5"/>
      <c r="E21" s="82" t="s">
        <v>1</v>
      </c>
      <c r="F21" s="83" t="s">
        <v>12</v>
      </c>
      <c r="G21" s="82" t="s">
        <v>13</v>
      </c>
      <c r="H21" s="84" t="s">
        <v>14</v>
      </c>
      <c r="I21" s="83" t="s">
        <v>15</v>
      </c>
    </row>
    <row r="22" spans="1:9" ht="15.75" customHeight="1" x14ac:dyDescent="0.2">
      <c r="A22" s="3"/>
      <c r="B22" s="4"/>
      <c r="C22" s="5"/>
      <c r="E22" s="36" t="s">
        <v>33</v>
      </c>
      <c r="F22" s="78">
        <f>'30'!I22</f>
        <v>20126</v>
      </c>
      <c r="G22" s="78"/>
      <c r="H22" s="78"/>
      <c r="I22" s="79">
        <f>F22+G22-H22</f>
        <v>20126</v>
      </c>
    </row>
    <row r="23" spans="1:9" ht="15.75" customHeight="1" x14ac:dyDescent="0.2">
      <c r="A23" s="3"/>
      <c r="B23" s="4"/>
      <c r="C23" s="5"/>
      <c r="E23" s="36" t="s">
        <v>35</v>
      </c>
      <c r="F23" s="36">
        <f>'30'!I23</f>
        <v>410</v>
      </c>
      <c r="G23" s="36"/>
      <c r="H23" s="36"/>
      <c r="I23" s="37">
        <f t="shared" ref="I23:I40" si="0">F23+G23-H23</f>
        <v>410</v>
      </c>
    </row>
    <row r="24" spans="1:9" ht="15" customHeight="1" x14ac:dyDescent="0.2">
      <c r="A24" s="3"/>
      <c r="B24" s="4"/>
      <c r="C24" s="5"/>
      <c r="E24" s="36" t="s">
        <v>36</v>
      </c>
      <c r="F24" s="36">
        <f>'30'!I24</f>
        <v>0</v>
      </c>
      <c r="G24" s="36"/>
      <c r="H24" s="36"/>
      <c r="I24" s="37">
        <f t="shared" si="0"/>
        <v>0</v>
      </c>
    </row>
    <row r="25" spans="1:9" ht="15" customHeight="1" x14ac:dyDescent="0.2">
      <c r="A25" s="3"/>
      <c r="B25" s="4"/>
      <c r="C25" s="5"/>
      <c r="E25" s="36" t="s">
        <v>37</v>
      </c>
      <c r="F25" s="36">
        <f>'30'!I25</f>
        <v>8300</v>
      </c>
      <c r="G25" s="36"/>
      <c r="H25" s="36"/>
      <c r="I25" s="37">
        <f t="shared" si="0"/>
        <v>8300</v>
      </c>
    </row>
    <row r="26" spans="1:9" ht="15" customHeight="1" x14ac:dyDescent="0.2">
      <c r="A26" s="3"/>
      <c r="B26" s="4"/>
      <c r="C26" s="5"/>
      <c r="E26" s="36" t="s">
        <v>38</v>
      </c>
      <c r="F26" s="36">
        <f>'30'!I26</f>
        <v>10000</v>
      </c>
      <c r="G26" s="69"/>
      <c r="H26" s="69"/>
      <c r="I26" s="37">
        <f t="shared" si="0"/>
        <v>10000</v>
      </c>
    </row>
    <row r="27" spans="1:9" ht="15" customHeight="1" x14ac:dyDescent="0.2">
      <c r="A27" s="3"/>
      <c r="B27" s="4"/>
      <c r="C27" s="5"/>
      <c r="E27" s="36" t="s">
        <v>39</v>
      </c>
      <c r="F27" s="36">
        <f>'30'!I27</f>
        <v>20000</v>
      </c>
      <c r="G27" s="69"/>
      <c r="H27" s="69"/>
      <c r="I27" s="37">
        <f t="shared" si="0"/>
        <v>20000</v>
      </c>
    </row>
    <row r="28" spans="1:9" ht="15" customHeight="1" x14ac:dyDescent="0.2">
      <c r="A28" s="3"/>
      <c r="B28" s="4"/>
      <c r="C28" s="5"/>
      <c r="E28" s="112" t="s">
        <v>40</v>
      </c>
      <c r="F28" s="36">
        <f>'30'!I28</f>
        <v>1000</v>
      </c>
      <c r="G28" s="69"/>
      <c r="H28" s="69"/>
      <c r="I28" s="37">
        <f t="shared" si="0"/>
        <v>1000</v>
      </c>
    </row>
    <row r="29" spans="1:9" ht="15.75" customHeight="1" thickBot="1" x14ac:dyDescent="0.25">
      <c r="A29" s="12"/>
      <c r="B29" s="13"/>
      <c r="C29" s="14"/>
      <c r="E29" s="36" t="s">
        <v>41</v>
      </c>
      <c r="F29" s="36">
        <f>'30'!I29</f>
        <v>1000</v>
      </c>
      <c r="G29" s="36"/>
      <c r="H29" s="36"/>
      <c r="I29" s="37">
        <f t="shared" si="0"/>
        <v>1000</v>
      </c>
    </row>
    <row r="30" spans="1:9" ht="15.75" thickBot="1" x14ac:dyDescent="0.25">
      <c r="A30" s="126" t="s">
        <v>10</v>
      </c>
      <c r="B30" s="127"/>
      <c r="C30" s="15">
        <f>SUM(C3:C29)</f>
        <v>7800</v>
      </c>
      <c r="E30" s="36" t="s">
        <v>42</v>
      </c>
      <c r="F30" s="36">
        <f>'30'!I30</f>
        <v>5000</v>
      </c>
      <c r="G30" s="36"/>
      <c r="H30" s="36"/>
      <c r="I30" s="37">
        <f t="shared" si="0"/>
        <v>5000</v>
      </c>
    </row>
    <row r="31" spans="1:9" x14ac:dyDescent="0.2">
      <c r="E31" s="35" t="s">
        <v>44</v>
      </c>
      <c r="F31" s="36">
        <f>'30'!I31</f>
        <v>0</v>
      </c>
      <c r="G31" s="36"/>
      <c r="H31" s="36"/>
      <c r="I31" s="37">
        <f t="shared" si="0"/>
        <v>0</v>
      </c>
    </row>
    <row r="32" spans="1:9" x14ac:dyDescent="0.2">
      <c r="E32" s="63" t="s">
        <v>49</v>
      </c>
      <c r="F32" s="36">
        <f>'30'!I32</f>
        <v>0</v>
      </c>
      <c r="G32" s="69"/>
      <c r="H32" s="69"/>
      <c r="I32" s="37">
        <f t="shared" si="0"/>
        <v>0</v>
      </c>
    </row>
    <row r="33" spans="5:9" x14ac:dyDescent="0.2">
      <c r="E33" s="63"/>
      <c r="F33" s="36">
        <f>'30'!I33</f>
        <v>0</v>
      </c>
      <c r="G33" s="69"/>
      <c r="H33" s="69"/>
      <c r="I33" s="37">
        <f t="shared" si="0"/>
        <v>0</v>
      </c>
    </row>
    <row r="34" spans="5:9" x14ac:dyDescent="0.2">
      <c r="E34" s="35"/>
      <c r="F34" s="36">
        <f>'30'!I34</f>
        <v>0</v>
      </c>
      <c r="G34" s="36"/>
      <c r="H34" s="36"/>
      <c r="I34" s="37">
        <f t="shared" si="0"/>
        <v>0</v>
      </c>
    </row>
    <row r="35" spans="5:9" x14ac:dyDescent="0.2">
      <c r="E35" s="35"/>
      <c r="F35" s="36">
        <f>'30'!I35</f>
        <v>0</v>
      </c>
      <c r="G35" s="36"/>
      <c r="H35" s="36"/>
      <c r="I35" s="37">
        <f t="shared" si="0"/>
        <v>0</v>
      </c>
    </row>
    <row r="36" spans="5:9" x14ac:dyDescent="0.2">
      <c r="E36" s="35"/>
      <c r="F36" s="36">
        <f>'30'!I36</f>
        <v>0</v>
      </c>
      <c r="G36" s="36"/>
      <c r="H36" s="36"/>
      <c r="I36" s="37">
        <f t="shared" si="0"/>
        <v>0</v>
      </c>
    </row>
    <row r="37" spans="5:9" x14ac:dyDescent="0.2">
      <c r="E37" s="35"/>
      <c r="F37" s="36">
        <f>'30'!I37</f>
        <v>0</v>
      </c>
      <c r="G37" s="36"/>
      <c r="H37" s="36"/>
      <c r="I37" s="37">
        <f t="shared" si="0"/>
        <v>0</v>
      </c>
    </row>
    <row r="38" spans="5:9" x14ac:dyDescent="0.2">
      <c r="E38" s="35"/>
      <c r="F38" s="36">
        <f>'30'!I38</f>
        <v>0</v>
      </c>
      <c r="G38" s="36"/>
      <c r="H38" s="36"/>
      <c r="I38" s="37">
        <f t="shared" si="0"/>
        <v>0</v>
      </c>
    </row>
    <row r="39" spans="5:9" x14ac:dyDescent="0.2">
      <c r="E39" s="35"/>
      <c r="F39" s="36">
        <f>'30'!I39</f>
        <v>0</v>
      </c>
      <c r="G39" s="36"/>
      <c r="H39" s="36"/>
      <c r="I39" s="37">
        <f t="shared" si="0"/>
        <v>0</v>
      </c>
    </row>
    <row r="40" spans="5:9" ht="15.75" thickBot="1" x14ac:dyDescent="0.25">
      <c r="E40" s="80"/>
      <c r="F40" s="45">
        <f>'30'!I40</f>
        <v>0</v>
      </c>
      <c r="G40" s="81"/>
      <c r="H40" s="81"/>
      <c r="I40" s="46">
        <f t="shared" si="0"/>
        <v>0</v>
      </c>
    </row>
    <row r="41" spans="5:9" ht="15.75" thickBot="1" x14ac:dyDescent="0.25">
      <c r="E41" s="64" t="s">
        <v>3</v>
      </c>
      <c r="F41" s="39">
        <f>SUM(F22:F40)</f>
        <v>65836</v>
      </c>
      <c r="G41" s="39">
        <f>SUM(G22:G40)</f>
        <v>0</v>
      </c>
      <c r="H41" s="39">
        <f>SUM(H22:H40)</f>
        <v>0</v>
      </c>
      <c r="I41" s="76">
        <f>F41+G41-H41</f>
        <v>65836</v>
      </c>
    </row>
  </sheetData>
  <mergeCells count="5">
    <mergeCell ref="A1:C1"/>
    <mergeCell ref="E2:F2"/>
    <mergeCell ref="H2:I2"/>
    <mergeCell ref="E20:I20"/>
    <mergeCell ref="A30:B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Home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2026-04-01T13:20:07Z</dcterms:modified>
</cp:coreProperties>
</file>
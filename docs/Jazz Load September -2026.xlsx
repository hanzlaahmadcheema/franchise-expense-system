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225" windowWidth="14805" windowHeight="7890" tabRatio="875" activeTab="1"/>
  </bookViews>
  <sheets>
    <sheet name="SUMMARY" sheetId="1" r:id="rId1"/>
    <sheet name="1" sheetId="2" r:id="rId2"/>
    <sheet name="2" sheetId="4" r:id="rId3"/>
    <sheet name="3" sheetId="5" r:id="rId4"/>
    <sheet name="4" sheetId="6" r:id="rId5"/>
    <sheet name="5" sheetId="7" r:id="rId6"/>
    <sheet name="6" sheetId="8" r:id="rId7"/>
    <sheet name="7" sheetId="9" r:id="rId8"/>
    <sheet name="8" sheetId="10" r:id="rId9"/>
    <sheet name="9" sheetId="11" r:id="rId10"/>
    <sheet name="10" sheetId="12" r:id="rId11"/>
    <sheet name="11" sheetId="13" r:id="rId12"/>
    <sheet name="12" sheetId="14" r:id="rId13"/>
    <sheet name="13" sheetId="15" r:id="rId14"/>
    <sheet name="14" sheetId="16" r:id="rId15"/>
    <sheet name="15" sheetId="17" r:id="rId16"/>
    <sheet name="16" sheetId="18" r:id="rId17"/>
    <sheet name="17" sheetId="19" r:id="rId18"/>
    <sheet name="18" sheetId="20" r:id="rId19"/>
    <sheet name="19" sheetId="21" r:id="rId20"/>
    <sheet name="20" sheetId="22" r:id="rId21"/>
    <sheet name="21" sheetId="23" r:id="rId22"/>
    <sheet name="22" sheetId="24" r:id="rId23"/>
    <sheet name="23" sheetId="25" r:id="rId24"/>
    <sheet name="24" sheetId="26" r:id="rId25"/>
    <sheet name="25" sheetId="27" r:id="rId26"/>
    <sheet name="26" sheetId="28" r:id="rId27"/>
    <sheet name="27" sheetId="29" r:id="rId28"/>
    <sheet name="28" sheetId="30" r:id="rId29"/>
    <sheet name="29" sheetId="31" r:id="rId30"/>
    <sheet name="30" sheetId="32" r:id="rId31"/>
    <sheet name="31" sheetId="33" r:id="rId32"/>
  </sheets>
  <calcPr calcId="144525"/>
</workbook>
</file>

<file path=xl/calcChain.xml><?xml version="1.0" encoding="utf-8"?>
<calcChain xmlns="http://schemas.openxmlformats.org/spreadsheetml/2006/main">
  <c r="M16" i="33" l="1"/>
  <c r="M17" i="33"/>
  <c r="M4" i="33"/>
  <c r="E16" i="33"/>
  <c r="E17" i="33"/>
  <c r="E4" i="33"/>
  <c r="M16" i="32"/>
  <c r="M17" i="32"/>
  <c r="M4" i="32"/>
  <c r="E16" i="32"/>
  <c r="E17" i="32"/>
  <c r="E4" i="32"/>
  <c r="M16" i="31"/>
  <c r="M17" i="31"/>
  <c r="M4" i="31"/>
  <c r="E16" i="31"/>
  <c r="E17" i="31"/>
  <c r="E4" i="31"/>
  <c r="M16" i="30"/>
  <c r="M17" i="30"/>
  <c r="M4" i="30"/>
  <c r="E16" i="30"/>
  <c r="E17" i="30"/>
  <c r="E4" i="30"/>
  <c r="M16" i="29"/>
  <c r="M17" i="29"/>
  <c r="M4" i="29"/>
  <c r="E16" i="29"/>
  <c r="E17" i="29"/>
  <c r="E4" i="29"/>
  <c r="M16" i="28"/>
  <c r="M17" i="28"/>
  <c r="M4" i="28"/>
  <c r="E16" i="28"/>
  <c r="E17" i="28"/>
  <c r="E4" i="28"/>
  <c r="M16" i="27"/>
  <c r="M17" i="27"/>
  <c r="M4" i="27"/>
  <c r="E16" i="27"/>
  <c r="E17" i="27"/>
  <c r="E4" i="27"/>
  <c r="M16" i="26"/>
  <c r="M17" i="26"/>
  <c r="M4" i="26"/>
  <c r="E16" i="26"/>
  <c r="E17" i="26"/>
  <c r="E4" i="26"/>
  <c r="M16" i="25"/>
  <c r="M17" i="25"/>
  <c r="M4" i="25"/>
  <c r="E16" i="25"/>
  <c r="E17" i="25"/>
  <c r="E4" i="25"/>
  <c r="M16" i="24"/>
  <c r="M17" i="24"/>
  <c r="M4" i="24"/>
  <c r="E16" i="24"/>
  <c r="E17" i="24"/>
  <c r="E4" i="24"/>
  <c r="M17" i="23"/>
  <c r="M16" i="23"/>
  <c r="M4" i="23"/>
  <c r="E16" i="23"/>
  <c r="E17" i="23"/>
  <c r="E4" i="23"/>
  <c r="M16" i="22"/>
  <c r="M17" i="22"/>
  <c r="M4" i="22"/>
  <c r="E16" i="22"/>
  <c r="E17" i="22"/>
  <c r="E4" i="22"/>
  <c r="M16" i="21"/>
  <c r="M17" i="21"/>
  <c r="M4" i="21"/>
  <c r="E16" i="21"/>
  <c r="E17" i="21"/>
  <c r="E4" i="21"/>
  <c r="M16" i="20"/>
  <c r="M17" i="20"/>
  <c r="M4" i="20"/>
  <c r="E16" i="20"/>
  <c r="E17" i="20"/>
  <c r="E4" i="20"/>
  <c r="M16" i="19"/>
  <c r="M17" i="19"/>
  <c r="M4" i="19"/>
  <c r="E16" i="19"/>
  <c r="E17" i="19"/>
  <c r="E4" i="19"/>
  <c r="M16" i="18"/>
  <c r="M17" i="18"/>
  <c r="M4" i="18"/>
  <c r="E16" i="18"/>
  <c r="E17" i="18"/>
  <c r="E4" i="18"/>
  <c r="M16" i="17"/>
  <c r="M17" i="17"/>
  <c r="M4" i="17"/>
  <c r="E16" i="17"/>
  <c r="E17" i="17"/>
  <c r="E4" i="17"/>
  <c r="M16" i="16"/>
  <c r="M17" i="16"/>
  <c r="M4" i="16"/>
  <c r="E16" i="16"/>
  <c r="E17" i="16"/>
  <c r="E4" i="16"/>
  <c r="M16" i="15"/>
  <c r="M17" i="15"/>
  <c r="M4" i="15"/>
  <c r="E16" i="15"/>
  <c r="E17" i="15"/>
  <c r="E4" i="15"/>
  <c r="M16" i="14"/>
  <c r="M17" i="14"/>
  <c r="M4" i="14"/>
  <c r="E16" i="14"/>
  <c r="E17" i="14"/>
  <c r="E4" i="14"/>
  <c r="M16" i="13"/>
  <c r="M17" i="13"/>
  <c r="M4" i="13"/>
  <c r="E16" i="13"/>
  <c r="E17" i="13"/>
  <c r="E4" i="13"/>
  <c r="M16" i="12"/>
  <c r="M17" i="12"/>
  <c r="M4" i="12"/>
  <c r="E16" i="12"/>
  <c r="E17" i="12"/>
  <c r="E4" i="12"/>
  <c r="M16" i="11"/>
  <c r="M17" i="11"/>
  <c r="M4" i="11"/>
  <c r="E16" i="11"/>
  <c r="E17" i="11"/>
  <c r="E4" i="11"/>
  <c r="M17" i="10"/>
  <c r="M16" i="10"/>
  <c r="M4" i="10"/>
  <c r="E16" i="10"/>
  <c r="E17" i="10"/>
  <c r="E4" i="10"/>
  <c r="M16" i="9"/>
  <c r="M17" i="9"/>
  <c r="M4" i="9"/>
  <c r="E16" i="9"/>
  <c r="E17" i="9"/>
  <c r="E4" i="9"/>
  <c r="M16" i="8"/>
  <c r="M17" i="8"/>
  <c r="M4" i="8"/>
  <c r="E16" i="8"/>
  <c r="E17" i="8"/>
  <c r="E4" i="8"/>
  <c r="M16" i="7"/>
  <c r="M17" i="7"/>
  <c r="M4" i="7"/>
  <c r="E16" i="7"/>
  <c r="E17" i="7"/>
  <c r="E4" i="7"/>
  <c r="M16" i="6"/>
  <c r="M17" i="6"/>
  <c r="M4" i="6"/>
  <c r="E16" i="6"/>
  <c r="E17" i="6"/>
  <c r="E4" i="6"/>
  <c r="M16" i="5"/>
  <c r="M17" i="5"/>
  <c r="M4" i="5"/>
  <c r="E16" i="5"/>
  <c r="E17" i="5"/>
  <c r="E4" i="5"/>
  <c r="M16" i="4"/>
  <c r="M17" i="4"/>
  <c r="M4" i="4"/>
  <c r="E16" i="4"/>
  <c r="E17" i="4"/>
  <c r="E4" i="4"/>
  <c r="M16" i="2"/>
  <c r="M17" i="2"/>
  <c r="M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4" i="2"/>
  <c r="M26" i="33" l="1"/>
  <c r="N18" i="33"/>
  <c r="K5" i="33"/>
  <c r="K6" i="33"/>
  <c r="K7" i="33"/>
  <c r="K8" i="33"/>
  <c r="K9" i="33"/>
  <c r="K10" i="33"/>
  <c r="K11" i="33"/>
  <c r="K12" i="33"/>
  <c r="K13" i="33"/>
  <c r="K14" i="33"/>
  <c r="K15" i="33"/>
  <c r="K16" i="33"/>
  <c r="K17" i="33"/>
  <c r="K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4" i="33"/>
  <c r="M26" i="32"/>
  <c r="N18" i="32"/>
  <c r="K5" i="32"/>
  <c r="K6" i="32"/>
  <c r="K7" i="32"/>
  <c r="K8" i="32"/>
  <c r="K9" i="32"/>
  <c r="K10" i="32"/>
  <c r="K11" i="32"/>
  <c r="K12" i="32"/>
  <c r="K13" i="32"/>
  <c r="K14" i="32"/>
  <c r="K15" i="32"/>
  <c r="K16" i="32"/>
  <c r="K17" i="32"/>
  <c r="K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4" i="32"/>
  <c r="M26" i="31"/>
  <c r="N18" i="31"/>
  <c r="K5" i="31"/>
  <c r="K6" i="31"/>
  <c r="K7" i="31"/>
  <c r="K8" i="31"/>
  <c r="K9" i="31"/>
  <c r="K10" i="31"/>
  <c r="K11" i="31"/>
  <c r="K12" i="31"/>
  <c r="K13" i="31"/>
  <c r="K14" i="31"/>
  <c r="K15" i="31"/>
  <c r="K16" i="31"/>
  <c r="K17" i="31"/>
  <c r="K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4" i="31"/>
  <c r="M26" i="30"/>
  <c r="N18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4" i="30"/>
  <c r="N18" i="29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4" i="29"/>
  <c r="M26" i="28"/>
  <c r="N18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4" i="28"/>
  <c r="N18" i="27"/>
  <c r="M26" i="27"/>
  <c r="K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4" i="27"/>
  <c r="M26" i="26"/>
  <c r="N18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4" i="26"/>
  <c r="M26" i="25"/>
  <c r="N18" i="25"/>
  <c r="M26" i="24"/>
  <c r="N18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4" i="24"/>
  <c r="M26" i="23"/>
  <c r="N18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4" i="23"/>
  <c r="N18" i="22"/>
  <c r="M26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4" i="22"/>
  <c r="M26" i="21"/>
  <c r="N18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4" i="21"/>
  <c r="M26" i="20"/>
  <c r="N18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4" i="20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4" i="19"/>
  <c r="M26" i="19"/>
  <c r="M26" i="16"/>
  <c r="M26" i="17"/>
  <c r="N18" i="18"/>
  <c r="M26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N18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4" i="17"/>
  <c r="N18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4" i="16"/>
  <c r="M26" i="15"/>
  <c r="N18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4" i="15"/>
  <c r="M26" i="14"/>
  <c r="N18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4" i="14"/>
  <c r="M26" i="13"/>
  <c r="N18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4" i="13"/>
  <c r="M26" i="9"/>
  <c r="M26" i="10"/>
  <c r="M26" i="11"/>
  <c r="M26" i="12"/>
  <c r="N18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4" i="12"/>
  <c r="N18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4" i="11"/>
  <c r="N18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4" i="10"/>
  <c r="N18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4" i="9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4" i="8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4" i="7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4" i="6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4" i="5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4" i="4"/>
  <c r="M26" i="8"/>
  <c r="M26" i="7"/>
  <c r="M26" i="6"/>
  <c r="M26" i="5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4" i="2"/>
  <c r="K17" i="25" l="1"/>
  <c r="K16" i="25"/>
  <c r="K15" i="25"/>
  <c r="K14" i="25"/>
  <c r="K13" i="25"/>
  <c r="K12" i="25"/>
  <c r="K11" i="25"/>
  <c r="K10" i="25"/>
  <c r="K9" i="25"/>
  <c r="K8" i="25"/>
  <c r="K7" i="25"/>
  <c r="K6" i="25"/>
  <c r="K5" i="25"/>
  <c r="K4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F18" i="11" l="1"/>
  <c r="E10" i="1"/>
  <c r="J18" i="33" l="1"/>
  <c r="F18" i="33"/>
  <c r="J18" i="32"/>
  <c r="F18" i="32"/>
  <c r="J18" i="31"/>
  <c r="F18" i="31"/>
  <c r="J18" i="30"/>
  <c r="F18" i="30"/>
  <c r="J18" i="29"/>
  <c r="M26" i="29" s="1"/>
  <c r="F18" i="29"/>
  <c r="K18" i="29"/>
  <c r="G18" i="29"/>
  <c r="H23" i="29" s="1"/>
  <c r="J18" i="28"/>
  <c r="F18" i="28"/>
  <c r="K18" i="28"/>
  <c r="J18" i="27"/>
  <c r="F18" i="27"/>
  <c r="G18" i="27"/>
  <c r="H23" i="27" s="1"/>
  <c r="J18" i="26"/>
  <c r="F18" i="26"/>
  <c r="J18" i="25"/>
  <c r="F18" i="25"/>
  <c r="K18" i="25"/>
  <c r="G18" i="25"/>
  <c r="H23" i="25" s="1"/>
  <c r="J18" i="24"/>
  <c r="F18" i="24"/>
  <c r="J18" i="23"/>
  <c r="F18" i="23"/>
  <c r="J18" i="22"/>
  <c r="F18" i="22"/>
  <c r="K18" i="22"/>
  <c r="J18" i="21"/>
  <c r="F18" i="21"/>
  <c r="G18" i="21"/>
  <c r="H23" i="21" s="1"/>
  <c r="J18" i="20"/>
  <c r="F18" i="20"/>
  <c r="K18" i="20"/>
  <c r="J18" i="19"/>
  <c r="F18" i="19"/>
  <c r="G18" i="19"/>
  <c r="H23" i="19" s="1"/>
  <c r="J18" i="18"/>
  <c r="F18" i="18"/>
  <c r="K18" i="18"/>
  <c r="J18" i="17"/>
  <c r="F18" i="17"/>
  <c r="G18" i="17"/>
  <c r="H23" i="17" s="1"/>
  <c r="J18" i="16"/>
  <c r="F18" i="16"/>
  <c r="J18" i="15"/>
  <c r="F18" i="15"/>
  <c r="G18" i="15"/>
  <c r="H23" i="15" s="1"/>
  <c r="J18" i="14"/>
  <c r="F18" i="14"/>
  <c r="J18" i="13"/>
  <c r="F18" i="13"/>
  <c r="J18" i="12"/>
  <c r="F18" i="12"/>
  <c r="J18" i="11"/>
  <c r="J18" i="10"/>
  <c r="F18" i="10"/>
  <c r="J18" i="9"/>
  <c r="F18" i="9"/>
  <c r="J18" i="8"/>
  <c r="F18" i="8"/>
  <c r="J18" i="7"/>
  <c r="F18" i="7"/>
  <c r="J18" i="6"/>
  <c r="F18" i="6"/>
  <c r="J18" i="5"/>
  <c r="F18" i="5"/>
  <c r="J18" i="4"/>
  <c r="M26" i="4" s="1"/>
  <c r="F18" i="4"/>
  <c r="O18" i="20" l="1"/>
  <c r="P18" i="20" s="1"/>
  <c r="M25" i="20" s="1"/>
  <c r="K18" i="4"/>
  <c r="N18" i="4" s="1"/>
  <c r="K18" i="5"/>
  <c r="N18" i="5" s="1"/>
  <c r="G18" i="16"/>
  <c r="H23" i="16" s="1"/>
  <c r="G18" i="18"/>
  <c r="H23" i="18" s="1"/>
  <c r="G18" i="20"/>
  <c r="H23" i="20" s="1"/>
  <c r="G18" i="22"/>
  <c r="H23" i="22" s="1"/>
  <c r="G18" i="28"/>
  <c r="H23" i="28" s="1"/>
  <c r="G18" i="30"/>
  <c r="H23" i="30" s="1"/>
  <c r="G18" i="5"/>
  <c r="H23" i="5" s="1"/>
  <c r="K18" i="15"/>
  <c r="K18" i="17"/>
  <c r="K18" i="19"/>
  <c r="N18" i="19" s="1"/>
  <c r="K18" i="21"/>
  <c r="K18" i="27"/>
  <c r="K18" i="16"/>
  <c r="G18" i="4"/>
  <c r="H23" i="4" s="1"/>
  <c r="G18" i="6"/>
  <c r="H23" i="6" s="1"/>
  <c r="K18" i="6"/>
  <c r="N18" i="6" s="1"/>
  <c r="G18" i="7"/>
  <c r="H23" i="7" s="1"/>
  <c r="K18" i="7"/>
  <c r="N18" i="7" s="1"/>
  <c r="G18" i="8"/>
  <c r="H23" i="8" s="1"/>
  <c r="K18" i="8"/>
  <c r="N18" i="8" s="1"/>
  <c r="G18" i="9"/>
  <c r="H23" i="9" s="1"/>
  <c r="K18" i="9"/>
  <c r="G18" i="10"/>
  <c r="H23" i="10" s="1"/>
  <c r="K18" i="10"/>
  <c r="G18" i="11"/>
  <c r="H23" i="11" s="1"/>
  <c r="K18" i="11"/>
  <c r="G18" i="12"/>
  <c r="H23" i="12" s="1"/>
  <c r="K18" i="12"/>
  <c r="G18" i="13"/>
  <c r="H23" i="13" s="1"/>
  <c r="K18" i="13"/>
  <c r="G18" i="14"/>
  <c r="H23" i="14" s="1"/>
  <c r="K18" i="14"/>
  <c r="G18" i="23"/>
  <c r="H23" i="23" s="1"/>
  <c r="K18" i="23"/>
  <c r="G18" i="24"/>
  <c r="H23" i="24" s="1"/>
  <c r="K18" i="24"/>
  <c r="G18" i="26"/>
  <c r="H23" i="26" s="1"/>
  <c r="K18" i="26"/>
  <c r="K18" i="30"/>
  <c r="G18" i="31"/>
  <c r="H23" i="31" s="1"/>
  <c r="K18" i="31"/>
  <c r="G18" i="32"/>
  <c r="H23" i="32" s="1"/>
  <c r="K18" i="32"/>
  <c r="G18" i="33"/>
  <c r="H23" i="33" s="1"/>
  <c r="K18" i="33"/>
  <c r="O18" i="29"/>
  <c r="P18" i="29" s="1"/>
  <c r="M25" i="29" s="1"/>
  <c r="M27" i="29" s="1"/>
  <c r="O18" i="28"/>
  <c r="P18" i="28" s="1"/>
  <c r="M25" i="28" s="1"/>
  <c r="M27" i="28" s="1"/>
  <c r="O18" i="25"/>
  <c r="P18" i="25" s="1"/>
  <c r="M25" i="25" s="1"/>
  <c r="M27" i="25" s="1"/>
  <c r="O18" i="22"/>
  <c r="P18" i="22" s="1"/>
  <c r="M25" i="22" s="1"/>
  <c r="M27" i="22" s="1"/>
  <c r="O18" i="18"/>
  <c r="P18" i="18" s="1"/>
  <c r="M25" i="18" s="1"/>
  <c r="M27" i="18" s="1"/>
  <c r="M27" i="20" l="1"/>
  <c r="O18" i="33"/>
  <c r="P18" i="33" s="1"/>
  <c r="M25" i="33" s="1"/>
  <c r="M27" i="33" s="1"/>
  <c r="O18" i="32"/>
  <c r="P18" i="32" s="1"/>
  <c r="M25" i="32" s="1"/>
  <c r="M27" i="32" s="1"/>
  <c r="O18" i="30"/>
  <c r="P18" i="30" s="1"/>
  <c r="M25" i="30" s="1"/>
  <c r="M27" i="30" s="1"/>
  <c r="O18" i="27"/>
  <c r="P18" i="27" s="1"/>
  <c r="M25" i="27" s="1"/>
  <c r="O18" i="24"/>
  <c r="P18" i="24" s="1"/>
  <c r="M25" i="24" s="1"/>
  <c r="M27" i="24" s="1"/>
  <c r="O18" i="23"/>
  <c r="P18" i="23" s="1"/>
  <c r="M25" i="23" s="1"/>
  <c r="O18" i="17"/>
  <c r="P18" i="17" s="1"/>
  <c r="M25" i="17" s="1"/>
  <c r="M27" i="17" s="1"/>
  <c r="O18" i="16"/>
  <c r="P18" i="16" s="1"/>
  <c r="M25" i="16" s="1"/>
  <c r="M27" i="16" s="1"/>
  <c r="O18" i="15"/>
  <c r="P18" i="15" s="1"/>
  <c r="M25" i="15" s="1"/>
  <c r="M27" i="15" s="1"/>
  <c r="O18" i="14"/>
  <c r="P18" i="14" s="1"/>
  <c r="M25" i="14" s="1"/>
  <c r="M27" i="14" s="1"/>
  <c r="O18" i="10"/>
  <c r="P18" i="10" s="1"/>
  <c r="M25" i="10" s="1"/>
  <c r="M27" i="10" s="1"/>
  <c r="O18" i="8"/>
  <c r="P18" i="8" s="1"/>
  <c r="M25" i="8" s="1"/>
  <c r="M27" i="8" s="1"/>
  <c r="O18" i="7"/>
  <c r="P18" i="7" s="1"/>
  <c r="M25" i="7" s="1"/>
  <c r="M27" i="7" s="1"/>
  <c r="O18" i="6"/>
  <c r="P18" i="6" s="1"/>
  <c r="M25" i="6" s="1"/>
  <c r="O18" i="5"/>
  <c r="P18" i="5" s="1"/>
  <c r="M25" i="5" s="1"/>
  <c r="M27" i="5" s="1"/>
  <c r="O18" i="4"/>
  <c r="P18" i="4" s="1"/>
  <c r="M25" i="4" s="1"/>
  <c r="O18" i="31"/>
  <c r="P18" i="31" s="1"/>
  <c r="M25" i="31" s="1"/>
  <c r="M27" i="31" s="1"/>
  <c r="O18" i="26"/>
  <c r="P18" i="26" s="1"/>
  <c r="M25" i="26" s="1"/>
  <c r="M27" i="26" s="1"/>
  <c r="O18" i="19"/>
  <c r="P18" i="19" s="1"/>
  <c r="M25" i="19" s="1"/>
  <c r="M27" i="19" s="1"/>
  <c r="O18" i="9"/>
  <c r="P18" i="9" s="1"/>
  <c r="M25" i="9" s="1"/>
  <c r="M27" i="9" s="1"/>
  <c r="O18" i="11"/>
  <c r="P18" i="11" s="1"/>
  <c r="M25" i="11" s="1"/>
  <c r="M27" i="11" s="1"/>
  <c r="O18" i="12"/>
  <c r="P18" i="12" s="1"/>
  <c r="M25" i="12" s="1"/>
  <c r="M27" i="12" s="1"/>
  <c r="O18" i="21"/>
  <c r="P18" i="21" s="1"/>
  <c r="M25" i="21" s="1"/>
  <c r="M27" i="21" s="1"/>
  <c r="O18" i="13"/>
  <c r="P18" i="13" s="1"/>
  <c r="M25" i="13" s="1"/>
  <c r="M27" i="13" s="1"/>
  <c r="H11" i="2"/>
  <c r="L11" i="2" s="1"/>
  <c r="M11" i="2" s="1"/>
  <c r="H12" i="2"/>
  <c r="L12" i="2" s="1"/>
  <c r="M12" i="2" s="1"/>
  <c r="H13" i="2"/>
  <c r="L13" i="2" s="1"/>
  <c r="M13" i="2" s="1"/>
  <c r="H14" i="2"/>
  <c r="L14" i="2" s="1"/>
  <c r="M14" i="2" s="1"/>
  <c r="H15" i="2"/>
  <c r="L15" i="2" s="1"/>
  <c r="M15" i="2" s="1"/>
  <c r="H16" i="2"/>
  <c r="L16" i="2" s="1"/>
  <c r="H17" i="2"/>
  <c r="L17" i="2" s="1"/>
  <c r="M27" i="27" l="1"/>
  <c r="M27" i="23"/>
  <c r="M27" i="6"/>
  <c r="M27" i="4"/>
  <c r="D16" i="4"/>
  <c r="D14" i="4"/>
  <c r="E14" i="4" s="1"/>
  <c r="D12" i="4"/>
  <c r="E12" i="4" s="1"/>
  <c r="D17" i="4"/>
  <c r="D15" i="4"/>
  <c r="E15" i="4" s="1"/>
  <c r="D13" i="4"/>
  <c r="E13" i="4" s="1"/>
  <c r="D11" i="4"/>
  <c r="E11" i="4" s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4" i="2"/>
  <c r="L4" i="2" s="1"/>
  <c r="D4" i="4" l="1"/>
  <c r="I11" i="4"/>
  <c r="H11" i="4"/>
  <c r="L11" i="4" s="1"/>
  <c r="M11" i="4" s="1"/>
  <c r="I13" i="4"/>
  <c r="H13" i="4"/>
  <c r="L13" i="4" s="1"/>
  <c r="M13" i="4" s="1"/>
  <c r="I15" i="4"/>
  <c r="H15" i="4"/>
  <c r="L15" i="4" s="1"/>
  <c r="M15" i="4" s="1"/>
  <c r="I17" i="4"/>
  <c r="H17" i="4"/>
  <c r="L17" i="4" s="1"/>
  <c r="I12" i="4"/>
  <c r="H12" i="4"/>
  <c r="L12" i="4" s="1"/>
  <c r="M12" i="4" s="1"/>
  <c r="I14" i="4"/>
  <c r="H14" i="4"/>
  <c r="L14" i="4" s="1"/>
  <c r="M14" i="4" s="1"/>
  <c r="I16" i="4"/>
  <c r="H16" i="4"/>
  <c r="L16" i="4" s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E5" i="1"/>
  <c r="E4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E3" i="1"/>
  <c r="D3" i="1"/>
  <c r="F18" i="2"/>
  <c r="D18" i="2"/>
  <c r="H4" i="4" l="1"/>
  <c r="L4" i="4" s="1"/>
  <c r="D16" i="5"/>
  <c r="D14" i="5"/>
  <c r="E14" i="5" s="1"/>
  <c r="D12" i="5"/>
  <c r="E12" i="5" s="1"/>
  <c r="D17" i="5"/>
  <c r="D15" i="5"/>
  <c r="E15" i="5" s="1"/>
  <c r="D13" i="5"/>
  <c r="E13" i="5" s="1"/>
  <c r="D11" i="5"/>
  <c r="E11" i="5" s="1"/>
  <c r="I4" i="4"/>
  <c r="E2" i="1"/>
  <c r="D2" i="1"/>
  <c r="C2" i="1"/>
  <c r="F23" i="2"/>
  <c r="H5" i="2"/>
  <c r="L5" i="2" s="1"/>
  <c r="M5" i="2" s="1"/>
  <c r="H6" i="2"/>
  <c r="L6" i="2" s="1"/>
  <c r="M6" i="2" s="1"/>
  <c r="H7" i="2"/>
  <c r="L7" i="2" s="1"/>
  <c r="M7" i="2" s="1"/>
  <c r="H8" i="2"/>
  <c r="L8" i="2" s="1"/>
  <c r="M8" i="2" s="1"/>
  <c r="H9" i="2"/>
  <c r="L9" i="2" s="1"/>
  <c r="M9" i="2" s="1"/>
  <c r="H10" i="2"/>
  <c r="L10" i="2" s="1"/>
  <c r="M10" i="2" s="1"/>
  <c r="I6" i="2"/>
  <c r="I9" i="2"/>
  <c r="I11" i="2"/>
  <c r="I13" i="2"/>
  <c r="I15" i="2"/>
  <c r="I16" i="2"/>
  <c r="I17" i="2"/>
  <c r="G18" i="2"/>
  <c r="E18" i="2"/>
  <c r="D4" i="5" l="1"/>
  <c r="D9" i="4"/>
  <c r="D7" i="4"/>
  <c r="D8" i="4"/>
  <c r="D6" i="4"/>
  <c r="D5" i="4"/>
  <c r="E5" i="4" s="1"/>
  <c r="I13" i="5"/>
  <c r="H13" i="5"/>
  <c r="L13" i="5" s="1"/>
  <c r="M13" i="5" s="1"/>
  <c r="I17" i="5"/>
  <c r="H17" i="5"/>
  <c r="L17" i="5" s="1"/>
  <c r="I14" i="5"/>
  <c r="H14" i="5"/>
  <c r="L14" i="5" s="1"/>
  <c r="M14" i="5" s="1"/>
  <c r="I11" i="5"/>
  <c r="H11" i="5"/>
  <c r="L11" i="5" s="1"/>
  <c r="M11" i="5" s="1"/>
  <c r="I15" i="5"/>
  <c r="H15" i="5"/>
  <c r="L15" i="5" s="1"/>
  <c r="M15" i="5" s="1"/>
  <c r="I12" i="5"/>
  <c r="H12" i="5"/>
  <c r="L12" i="5" s="1"/>
  <c r="M12" i="5" s="1"/>
  <c r="I16" i="5"/>
  <c r="H16" i="5"/>
  <c r="L16" i="5" s="1"/>
  <c r="D10" i="4"/>
  <c r="E10" i="4" s="1"/>
  <c r="H23" i="2"/>
  <c r="G2" i="1"/>
  <c r="H18" i="2"/>
  <c r="I5" i="2"/>
  <c r="I14" i="2"/>
  <c r="I12" i="2"/>
  <c r="I10" i="2"/>
  <c r="I8" i="2"/>
  <c r="I7" i="2"/>
  <c r="I4" i="2"/>
  <c r="E6" i="4" l="1"/>
  <c r="I6" i="4" s="1"/>
  <c r="E8" i="4"/>
  <c r="I8" i="4" s="1"/>
  <c r="E9" i="4"/>
  <c r="I9" i="4" s="1"/>
  <c r="E7" i="4"/>
  <c r="I7" i="4" s="1"/>
  <c r="H8" i="4"/>
  <c r="L8" i="4" s="1"/>
  <c r="M8" i="4" s="1"/>
  <c r="H6" i="4"/>
  <c r="L6" i="4" s="1"/>
  <c r="M6" i="4" s="1"/>
  <c r="H5" i="4"/>
  <c r="L5" i="4" s="1"/>
  <c r="M5" i="4" s="1"/>
  <c r="H7" i="4"/>
  <c r="L7" i="4" s="1"/>
  <c r="M7" i="4" s="1"/>
  <c r="H9" i="4"/>
  <c r="L9" i="4" s="1"/>
  <c r="M9" i="4" s="1"/>
  <c r="D18" i="4"/>
  <c r="I10" i="4"/>
  <c r="H4" i="5"/>
  <c r="L4" i="5" s="1"/>
  <c r="I4" i="5"/>
  <c r="I5" i="4"/>
  <c r="D16" i="6"/>
  <c r="D14" i="6"/>
  <c r="E14" i="6" s="1"/>
  <c r="D12" i="6"/>
  <c r="E12" i="6" s="1"/>
  <c r="D17" i="6"/>
  <c r="D15" i="6"/>
  <c r="E15" i="6" s="1"/>
  <c r="D13" i="6"/>
  <c r="E13" i="6" s="1"/>
  <c r="D11" i="6"/>
  <c r="E11" i="6" s="1"/>
  <c r="H10" i="4"/>
  <c r="L10" i="4" s="1"/>
  <c r="M10" i="4" s="1"/>
  <c r="J23" i="2"/>
  <c r="L23" i="2" s="1"/>
  <c r="A23" i="4" s="1"/>
  <c r="F23" i="4" s="1"/>
  <c r="J23" i="4" s="1"/>
  <c r="L23" i="4" s="1"/>
  <c r="A23" i="5" s="1"/>
  <c r="F23" i="5" s="1"/>
  <c r="J23" i="5" s="1"/>
  <c r="L23" i="5" s="1"/>
  <c r="A23" i="6" s="1"/>
  <c r="F23" i="6" s="1"/>
  <c r="J23" i="6" s="1"/>
  <c r="L23" i="6" s="1"/>
  <c r="A23" i="7" s="1"/>
  <c r="F23" i="7" s="1"/>
  <c r="J23" i="7" s="1"/>
  <c r="L23" i="7" s="1"/>
  <c r="A23" i="8" s="1"/>
  <c r="F23" i="8" s="1"/>
  <c r="J23" i="8" s="1"/>
  <c r="L23" i="8" s="1"/>
  <c r="A23" i="9" s="1"/>
  <c r="F23" i="9" s="1"/>
  <c r="J23" i="9" s="1"/>
  <c r="L23" i="9" s="1"/>
  <c r="A23" i="10" s="1"/>
  <c r="F23" i="10" s="1"/>
  <c r="J23" i="10" s="1"/>
  <c r="L23" i="10" s="1"/>
  <c r="A23" i="11" s="1"/>
  <c r="F23" i="11" s="1"/>
  <c r="J23" i="11" s="1"/>
  <c r="L23" i="11" s="1"/>
  <c r="A23" i="12" s="1"/>
  <c r="F23" i="12" s="1"/>
  <c r="J23" i="12" s="1"/>
  <c r="L23" i="12" s="1"/>
  <c r="A23" i="13" s="1"/>
  <c r="F23" i="13" s="1"/>
  <c r="J23" i="13" s="1"/>
  <c r="L23" i="13" s="1"/>
  <c r="A23" i="14" s="1"/>
  <c r="F23" i="14" s="1"/>
  <c r="J23" i="14" s="1"/>
  <c r="L23" i="14" s="1"/>
  <c r="A23" i="15" s="1"/>
  <c r="F23" i="15" s="1"/>
  <c r="J23" i="15" s="1"/>
  <c r="L23" i="15" s="1"/>
  <c r="A23" i="16" s="1"/>
  <c r="F23" i="16" s="1"/>
  <c r="J23" i="16" s="1"/>
  <c r="L23" i="16" s="1"/>
  <c r="A23" i="17" s="1"/>
  <c r="F23" i="17" s="1"/>
  <c r="J23" i="17" s="1"/>
  <c r="L23" i="17" s="1"/>
  <c r="A23" i="18" s="1"/>
  <c r="F23" i="18" s="1"/>
  <c r="J23" i="18" s="1"/>
  <c r="L23" i="18" s="1"/>
  <c r="A23" i="19" s="1"/>
  <c r="F23" i="19" s="1"/>
  <c r="J23" i="19" s="1"/>
  <c r="L23" i="19" s="1"/>
  <c r="A23" i="20" s="1"/>
  <c r="F23" i="20" s="1"/>
  <c r="J23" i="20" s="1"/>
  <c r="L23" i="20" s="1"/>
  <c r="A23" i="21" s="1"/>
  <c r="F23" i="21" s="1"/>
  <c r="J23" i="21" s="1"/>
  <c r="L23" i="21" s="1"/>
  <c r="A23" i="22" s="1"/>
  <c r="F23" i="22" s="1"/>
  <c r="J23" i="22" s="1"/>
  <c r="L23" i="22" s="1"/>
  <c r="A23" i="23" s="1"/>
  <c r="F23" i="23" s="1"/>
  <c r="J23" i="23" s="1"/>
  <c r="L23" i="23" s="1"/>
  <c r="A23" i="24" s="1"/>
  <c r="F23" i="24" s="1"/>
  <c r="J23" i="24" s="1"/>
  <c r="L23" i="24" s="1"/>
  <c r="A23" i="25" s="1"/>
  <c r="F23" i="25" s="1"/>
  <c r="J23" i="25" s="1"/>
  <c r="L23" i="25" s="1"/>
  <c r="A23" i="26" s="1"/>
  <c r="F23" i="26" s="1"/>
  <c r="J23" i="26" s="1"/>
  <c r="L23" i="26" s="1"/>
  <c r="A23" i="27" s="1"/>
  <c r="F23" i="27" s="1"/>
  <c r="J23" i="27" s="1"/>
  <c r="L23" i="27" s="1"/>
  <c r="A23" i="28" s="1"/>
  <c r="F23" i="28" s="1"/>
  <c r="J23" i="28" s="1"/>
  <c r="L23" i="28" s="1"/>
  <c r="A23" i="29" s="1"/>
  <c r="F23" i="29" s="1"/>
  <c r="J23" i="29" s="1"/>
  <c r="L23" i="29" s="1"/>
  <c r="A23" i="30" s="1"/>
  <c r="F23" i="30" s="1"/>
  <c r="J23" i="30" s="1"/>
  <c r="L23" i="30" s="1"/>
  <c r="A23" i="31" s="1"/>
  <c r="F23" i="31" s="1"/>
  <c r="J23" i="31" s="1"/>
  <c r="L23" i="31" s="1"/>
  <c r="A23" i="32" s="1"/>
  <c r="F23" i="32" s="1"/>
  <c r="J23" i="32" s="1"/>
  <c r="L23" i="32" s="1"/>
  <c r="A23" i="33" s="1"/>
  <c r="F23" i="33" s="1"/>
  <c r="J23" i="33" s="1"/>
  <c r="L23" i="33" s="1"/>
  <c r="I18" i="2"/>
  <c r="D6" i="5" l="1"/>
  <c r="D7" i="5"/>
  <c r="D8" i="5"/>
  <c r="D9" i="5"/>
  <c r="H18" i="4"/>
  <c r="H7" i="5"/>
  <c r="L7" i="5" s="1"/>
  <c r="M7" i="5" s="1"/>
  <c r="I13" i="6"/>
  <c r="H13" i="6"/>
  <c r="L13" i="6" s="1"/>
  <c r="M13" i="6" s="1"/>
  <c r="I17" i="6"/>
  <c r="H17" i="6"/>
  <c r="L17" i="6" s="1"/>
  <c r="I14" i="6"/>
  <c r="H14" i="6"/>
  <c r="L14" i="6" s="1"/>
  <c r="M14" i="6" s="1"/>
  <c r="I11" i="6"/>
  <c r="H11" i="6"/>
  <c r="L11" i="6" s="1"/>
  <c r="M11" i="6" s="1"/>
  <c r="I15" i="6"/>
  <c r="H15" i="6"/>
  <c r="L15" i="6" s="1"/>
  <c r="M15" i="6" s="1"/>
  <c r="I12" i="6"/>
  <c r="H12" i="6"/>
  <c r="L12" i="6" s="1"/>
  <c r="M12" i="6" s="1"/>
  <c r="I16" i="6"/>
  <c r="H16" i="6"/>
  <c r="L16" i="6" s="1"/>
  <c r="D5" i="5"/>
  <c r="E5" i="5" s="1"/>
  <c r="L18" i="4"/>
  <c r="D10" i="5"/>
  <c r="E10" i="5" s="1"/>
  <c r="I18" i="4"/>
  <c r="E18" i="4"/>
  <c r="F2" i="1"/>
  <c r="E6" i="5" l="1"/>
  <c r="I6" i="5" s="1"/>
  <c r="H8" i="5"/>
  <c r="L8" i="5" s="1"/>
  <c r="M8" i="5" s="1"/>
  <c r="E8" i="5"/>
  <c r="I8" i="5" s="1"/>
  <c r="H9" i="5"/>
  <c r="L9" i="5" s="1"/>
  <c r="M9" i="5" s="1"/>
  <c r="E9" i="5"/>
  <c r="I9" i="5" s="1"/>
  <c r="E7" i="5"/>
  <c r="I7" i="5" s="1"/>
  <c r="H6" i="5"/>
  <c r="L6" i="5" s="1"/>
  <c r="M6" i="5" s="1"/>
  <c r="I10" i="5"/>
  <c r="H10" i="5"/>
  <c r="L10" i="5" s="1"/>
  <c r="M10" i="5" s="1"/>
  <c r="I5" i="5"/>
  <c r="H5" i="5"/>
  <c r="L5" i="5" s="1"/>
  <c r="M5" i="5" s="1"/>
  <c r="M18" i="4"/>
  <c r="D16" i="7"/>
  <c r="D14" i="7"/>
  <c r="E14" i="7" s="1"/>
  <c r="D12" i="7"/>
  <c r="E12" i="7" s="1"/>
  <c r="D17" i="7"/>
  <c r="D15" i="7"/>
  <c r="E15" i="7" s="1"/>
  <c r="D13" i="7"/>
  <c r="E13" i="7" s="1"/>
  <c r="D11" i="7"/>
  <c r="E11" i="7" s="1"/>
  <c r="D6" i="6"/>
  <c r="E6" i="6" s="1"/>
  <c r="D4" i="6"/>
  <c r="D18" i="5"/>
  <c r="D7" i="6"/>
  <c r="E7" i="6" s="1"/>
  <c r="H2" i="1"/>
  <c r="C3" i="1" s="1"/>
  <c r="D8" i="6" l="1"/>
  <c r="E8" i="6" s="1"/>
  <c r="I8" i="6" s="1"/>
  <c r="D9" i="6"/>
  <c r="E9" i="6" s="1"/>
  <c r="I9" i="6" s="1"/>
  <c r="H9" i="6"/>
  <c r="L9" i="6" s="1"/>
  <c r="M9" i="6" s="1"/>
  <c r="I7" i="6"/>
  <c r="H7" i="6"/>
  <c r="L7" i="6" s="1"/>
  <c r="M7" i="6" s="1"/>
  <c r="I6" i="6"/>
  <c r="H6" i="6"/>
  <c r="L6" i="6" s="1"/>
  <c r="M6" i="6" s="1"/>
  <c r="I13" i="7"/>
  <c r="H13" i="7"/>
  <c r="L13" i="7" s="1"/>
  <c r="M13" i="7" s="1"/>
  <c r="I17" i="7"/>
  <c r="H17" i="7"/>
  <c r="L17" i="7" s="1"/>
  <c r="I14" i="7"/>
  <c r="H14" i="7"/>
  <c r="L14" i="7" s="1"/>
  <c r="M14" i="7" s="1"/>
  <c r="I11" i="7"/>
  <c r="H11" i="7"/>
  <c r="L11" i="7" s="1"/>
  <c r="M11" i="7" s="1"/>
  <c r="I15" i="7"/>
  <c r="H15" i="7"/>
  <c r="L15" i="7" s="1"/>
  <c r="M15" i="7" s="1"/>
  <c r="I12" i="7"/>
  <c r="H12" i="7"/>
  <c r="L12" i="7" s="1"/>
  <c r="M12" i="7" s="1"/>
  <c r="I16" i="7"/>
  <c r="H16" i="7"/>
  <c r="L16" i="7" s="1"/>
  <c r="I4" i="6"/>
  <c r="H4" i="6"/>
  <c r="L4" i="6" s="1"/>
  <c r="H18" i="5"/>
  <c r="I18" i="5"/>
  <c r="E18" i="5"/>
  <c r="D10" i="6"/>
  <c r="E10" i="6" s="1"/>
  <c r="F3" i="1"/>
  <c r="H3" i="1" s="1"/>
  <c r="C4" i="1" s="1"/>
  <c r="F4" i="1" s="1"/>
  <c r="H4" i="1" s="1"/>
  <c r="H8" i="6" l="1"/>
  <c r="L8" i="6" s="1"/>
  <c r="M8" i="6" s="1"/>
  <c r="I10" i="6"/>
  <c r="H10" i="6"/>
  <c r="L10" i="6" s="1"/>
  <c r="M10" i="6" s="1"/>
  <c r="D14" i="8"/>
  <c r="E14" i="8" s="1"/>
  <c r="D17" i="8"/>
  <c r="D13" i="8"/>
  <c r="E13" i="8" s="1"/>
  <c r="D11" i="8"/>
  <c r="E11" i="8" s="1"/>
  <c r="D6" i="7"/>
  <c r="E6" i="7" s="1"/>
  <c r="D7" i="7"/>
  <c r="E7" i="7" s="1"/>
  <c r="D9" i="7"/>
  <c r="E9" i="7" s="1"/>
  <c r="D16" i="8"/>
  <c r="D12" i="8"/>
  <c r="E12" i="8" s="1"/>
  <c r="D15" i="8"/>
  <c r="E15" i="8" s="1"/>
  <c r="M18" i="5"/>
  <c r="D5" i="6"/>
  <c r="E5" i="6" s="1"/>
  <c r="L18" i="5"/>
  <c r="C5" i="1"/>
  <c r="F5" i="1" s="1"/>
  <c r="H5" i="1" s="1"/>
  <c r="C6" i="1" s="1"/>
  <c r="F6" i="1" s="1"/>
  <c r="H6" i="1" s="1"/>
  <c r="C7" i="1" s="1"/>
  <c r="F7" i="1" s="1"/>
  <c r="H7" i="1" s="1"/>
  <c r="C8" i="1" s="1"/>
  <c r="F8" i="1" s="1"/>
  <c r="H8" i="1" s="1"/>
  <c r="C9" i="1" s="1"/>
  <c r="F9" i="1" s="1"/>
  <c r="H9" i="1" s="1"/>
  <c r="C10" i="1" s="1"/>
  <c r="F10" i="1" s="1"/>
  <c r="H10" i="1" s="1"/>
  <c r="C11" i="1" s="1"/>
  <c r="F11" i="1" s="1"/>
  <c r="H11" i="1" s="1"/>
  <c r="C12" i="1" s="1"/>
  <c r="F12" i="1" s="1"/>
  <c r="H12" i="1" s="1"/>
  <c r="C13" i="1" s="1"/>
  <c r="F13" i="1" s="1"/>
  <c r="H13" i="1" s="1"/>
  <c r="C14" i="1" s="1"/>
  <c r="F14" i="1" s="1"/>
  <c r="H14" i="1" s="1"/>
  <c r="C15" i="1" s="1"/>
  <c r="F15" i="1" s="1"/>
  <c r="H15" i="1" s="1"/>
  <c r="C16" i="1" s="1"/>
  <c r="F16" i="1" s="1"/>
  <c r="H16" i="1" s="1"/>
  <c r="C17" i="1" s="1"/>
  <c r="F17" i="1" s="1"/>
  <c r="H17" i="1" s="1"/>
  <c r="C18" i="1" s="1"/>
  <c r="F18" i="1" s="1"/>
  <c r="H18" i="1" s="1"/>
  <c r="C19" i="1" s="1"/>
  <c r="F19" i="1" s="1"/>
  <c r="H19" i="1" s="1"/>
  <c r="C20" i="1" s="1"/>
  <c r="F20" i="1" s="1"/>
  <c r="H20" i="1" s="1"/>
  <c r="C21" i="1" s="1"/>
  <c r="F21" i="1" s="1"/>
  <c r="H21" i="1" s="1"/>
  <c r="C22" i="1" s="1"/>
  <c r="F22" i="1" s="1"/>
  <c r="H22" i="1" s="1"/>
  <c r="C23" i="1" s="1"/>
  <c r="F23" i="1" s="1"/>
  <c r="H23" i="1" s="1"/>
  <c r="C24" i="1" s="1"/>
  <c r="F24" i="1" s="1"/>
  <c r="H24" i="1" s="1"/>
  <c r="C25" i="1" s="1"/>
  <c r="F25" i="1" s="1"/>
  <c r="H25" i="1" s="1"/>
  <c r="C26" i="1" s="1"/>
  <c r="F26" i="1" s="1"/>
  <c r="H26" i="1" s="1"/>
  <c r="C27" i="1" s="1"/>
  <c r="F27" i="1" s="1"/>
  <c r="H27" i="1" s="1"/>
  <c r="C28" i="1" s="1"/>
  <c r="F28" i="1" s="1"/>
  <c r="H28" i="1" s="1"/>
  <c r="C29" i="1" s="1"/>
  <c r="F29" i="1" s="1"/>
  <c r="H29" i="1" s="1"/>
  <c r="C30" i="1" s="1"/>
  <c r="F30" i="1" s="1"/>
  <c r="H30" i="1" s="1"/>
  <c r="C31" i="1" s="1"/>
  <c r="F31" i="1" s="1"/>
  <c r="H31" i="1" s="1"/>
  <c r="C32" i="1" s="1"/>
  <c r="F32" i="1" s="1"/>
  <c r="H32" i="1" s="1"/>
  <c r="D8" i="7" l="1"/>
  <c r="E8" i="7" s="1"/>
  <c r="I8" i="7" s="1"/>
  <c r="I5" i="6"/>
  <c r="H5" i="6"/>
  <c r="L5" i="6" s="1"/>
  <c r="M5" i="6" s="1"/>
  <c r="I15" i="8"/>
  <c r="H15" i="8"/>
  <c r="L15" i="8" s="1"/>
  <c r="M15" i="8" s="1"/>
  <c r="I16" i="8"/>
  <c r="H16" i="8"/>
  <c r="L16" i="8" s="1"/>
  <c r="I7" i="7"/>
  <c r="H7" i="7"/>
  <c r="L7" i="7" s="1"/>
  <c r="M7" i="7" s="1"/>
  <c r="I6" i="7"/>
  <c r="H6" i="7"/>
  <c r="L6" i="7" s="1"/>
  <c r="M6" i="7" s="1"/>
  <c r="I13" i="8"/>
  <c r="H13" i="8"/>
  <c r="L13" i="8" s="1"/>
  <c r="M13" i="8" s="1"/>
  <c r="I14" i="8"/>
  <c r="H14" i="8"/>
  <c r="L14" i="8" s="1"/>
  <c r="M14" i="8" s="1"/>
  <c r="I12" i="8"/>
  <c r="H12" i="8"/>
  <c r="L12" i="8" s="1"/>
  <c r="M12" i="8" s="1"/>
  <c r="I9" i="7"/>
  <c r="H9" i="7"/>
  <c r="L9" i="7" s="1"/>
  <c r="M9" i="7" s="1"/>
  <c r="H8" i="7"/>
  <c r="L8" i="7" s="1"/>
  <c r="M8" i="7" s="1"/>
  <c r="I11" i="8"/>
  <c r="H11" i="8"/>
  <c r="L11" i="8" s="1"/>
  <c r="M11" i="8" s="1"/>
  <c r="I17" i="8"/>
  <c r="H17" i="8"/>
  <c r="L17" i="8" s="1"/>
  <c r="D18" i="6"/>
  <c r="D10" i="7"/>
  <c r="E10" i="7" s="1"/>
  <c r="D4" i="7"/>
  <c r="I10" i="7" l="1"/>
  <c r="H10" i="7"/>
  <c r="L10" i="7" s="1"/>
  <c r="M10" i="7" s="1"/>
  <c r="I4" i="7"/>
  <c r="H4" i="7"/>
  <c r="L4" i="7" s="1"/>
  <c r="D17" i="9"/>
  <c r="D13" i="9"/>
  <c r="E13" i="9" s="1"/>
  <c r="D11" i="9"/>
  <c r="E11" i="9" s="1"/>
  <c r="D6" i="8"/>
  <c r="E6" i="8" s="1"/>
  <c r="D8" i="8"/>
  <c r="E8" i="8" s="1"/>
  <c r="D7" i="8"/>
  <c r="E7" i="8" s="1"/>
  <c r="D9" i="8"/>
  <c r="E9" i="8" s="1"/>
  <c r="D16" i="9"/>
  <c r="D12" i="9"/>
  <c r="E12" i="9" s="1"/>
  <c r="D15" i="9"/>
  <c r="E15" i="9" s="1"/>
  <c r="I18" i="6"/>
  <c r="E18" i="6"/>
  <c r="D14" i="9"/>
  <c r="E14" i="9" s="1"/>
  <c r="H18" i="6"/>
  <c r="I16" i="9" l="1"/>
  <c r="H16" i="9"/>
  <c r="L16" i="9" s="1"/>
  <c r="I14" i="9"/>
  <c r="H14" i="9"/>
  <c r="L14" i="9" s="1"/>
  <c r="M14" i="9" s="1"/>
  <c r="I12" i="9"/>
  <c r="H12" i="9"/>
  <c r="L12" i="9" s="1"/>
  <c r="M12" i="9" s="1"/>
  <c r="I9" i="8"/>
  <c r="H9" i="8"/>
  <c r="L9" i="8" s="1"/>
  <c r="M9" i="8" s="1"/>
  <c r="I8" i="8"/>
  <c r="H8" i="8"/>
  <c r="L8" i="8" s="1"/>
  <c r="M8" i="8" s="1"/>
  <c r="I11" i="9"/>
  <c r="H11" i="9"/>
  <c r="L11" i="9" s="1"/>
  <c r="M11" i="9" s="1"/>
  <c r="I17" i="9"/>
  <c r="H17" i="9"/>
  <c r="L17" i="9" s="1"/>
  <c r="I15" i="9"/>
  <c r="H15" i="9"/>
  <c r="L15" i="9" s="1"/>
  <c r="M15" i="9" s="1"/>
  <c r="I7" i="8"/>
  <c r="H7" i="8"/>
  <c r="L7" i="8" s="1"/>
  <c r="M7" i="8" s="1"/>
  <c r="I6" i="8"/>
  <c r="H6" i="8"/>
  <c r="L6" i="8" s="1"/>
  <c r="M6" i="8" s="1"/>
  <c r="I13" i="9"/>
  <c r="H13" i="9"/>
  <c r="L13" i="9" s="1"/>
  <c r="M13" i="9" s="1"/>
  <c r="D10" i="8"/>
  <c r="E10" i="8" s="1"/>
  <c r="M18" i="6"/>
  <c r="D5" i="7"/>
  <c r="E5" i="7" s="1"/>
  <c r="L18" i="6"/>
  <c r="I5" i="7" l="1"/>
  <c r="H5" i="7"/>
  <c r="L5" i="7" s="1"/>
  <c r="M5" i="7" s="1"/>
  <c r="I10" i="8"/>
  <c r="H10" i="8"/>
  <c r="L10" i="8" s="1"/>
  <c r="M10" i="8" s="1"/>
  <c r="D4" i="8"/>
  <c r="D18" i="7"/>
  <c r="D17" i="10"/>
  <c r="D13" i="10"/>
  <c r="E13" i="10" s="1"/>
  <c r="D11" i="10"/>
  <c r="E11" i="10" s="1"/>
  <c r="D6" i="9"/>
  <c r="E6" i="9" s="1"/>
  <c r="D8" i="9"/>
  <c r="E8" i="9" s="1"/>
  <c r="D7" i="9"/>
  <c r="E7" i="9" s="1"/>
  <c r="D9" i="9"/>
  <c r="E9" i="9" s="1"/>
  <c r="D16" i="10"/>
  <c r="D12" i="10"/>
  <c r="E12" i="10" s="1"/>
  <c r="D15" i="10"/>
  <c r="E15" i="10" s="1"/>
  <c r="D14" i="10"/>
  <c r="E14" i="10" s="1"/>
  <c r="I16" i="10" l="1"/>
  <c r="H16" i="10"/>
  <c r="L16" i="10" s="1"/>
  <c r="I14" i="10"/>
  <c r="H14" i="10"/>
  <c r="L14" i="10" s="1"/>
  <c r="M14" i="10" s="1"/>
  <c r="I12" i="10"/>
  <c r="H12" i="10"/>
  <c r="L12" i="10" s="1"/>
  <c r="M12" i="10" s="1"/>
  <c r="I9" i="9"/>
  <c r="H9" i="9"/>
  <c r="L9" i="9" s="1"/>
  <c r="M9" i="9" s="1"/>
  <c r="I8" i="9"/>
  <c r="H8" i="9"/>
  <c r="L8" i="9" s="1"/>
  <c r="M8" i="9" s="1"/>
  <c r="I11" i="10"/>
  <c r="H11" i="10"/>
  <c r="L11" i="10" s="1"/>
  <c r="M11" i="10" s="1"/>
  <c r="I17" i="10"/>
  <c r="H17" i="10"/>
  <c r="L17" i="10" s="1"/>
  <c r="I15" i="10"/>
  <c r="H15" i="10"/>
  <c r="L15" i="10" s="1"/>
  <c r="M15" i="10" s="1"/>
  <c r="I7" i="9"/>
  <c r="H7" i="9"/>
  <c r="L7" i="9" s="1"/>
  <c r="M7" i="9" s="1"/>
  <c r="I6" i="9"/>
  <c r="H6" i="9"/>
  <c r="L6" i="9" s="1"/>
  <c r="M6" i="9" s="1"/>
  <c r="I13" i="10"/>
  <c r="H13" i="10"/>
  <c r="L13" i="10" s="1"/>
  <c r="M13" i="10" s="1"/>
  <c r="H4" i="8"/>
  <c r="L4" i="8" s="1"/>
  <c r="I4" i="8"/>
  <c r="H18" i="7"/>
  <c r="D10" i="9"/>
  <c r="E10" i="9" s="1"/>
  <c r="I18" i="7"/>
  <c r="E18" i="7"/>
  <c r="I10" i="9" l="1"/>
  <c r="H10" i="9"/>
  <c r="L10" i="9" s="1"/>
  <c r="M10" i="9" s="1"/>
  <c r="D13" i="11"/>
  <c r="E13" i="11" s="1"/>
  <c r="D11" i="11"/>
  <c r="E11" i="11" s="1"/>
  <c r="D6" i="10"/>
  <c r="E6" i="10" s="1"/>
  <c r="D8" i="10"/>
  <c r="E8" i="10" s="1"/>
  <c r="D7" i="10"/>
  <c r="E7" i="10" s="1"/>
  <c r="D9" i="10"/>
  <c r="E9" i="10" s="1"/>
  <c r="D16" i="11"/>
  <c r="D12" i="11"/>
  <c r="E12" i="11" s="1"/>
  <c r="D15" i="11"/>
  <c r="E15" i="11" s="1"/>
  <c r="D14" i="11"/>
  <c r="E14" i="11" s="1"/>
  <c r="M18" i="7"/>
  <c r="D5" i="8"/>
  <c r="E5" i="8" s="1"/>
  <c r="L18" i="7"/>
  <c r="D17" i="11"/>
  <c r="I17" i="11" l="1"/>
  <c r="H17" i="11"/>
  <c r="L17" i="11" s="1"/>
  <c r="I15" i="11"/>
  <c r="H15" i="11"/>
  <c r="L15" i="11" s="1"/>
  <c r="M15" i="11" s="1"/>
  <c r="I16" i="11"/>
  <c r="H16" i="11"/>
  <c r="L16" i="11" s="1"/>
  <c r="I7" i="10"/>
  <c r="H7" i="10"/>
  <c r="L7" i="10" s="1"/>
  <c r="M7" i="10" s="1"/>
  <c r="I6" i="10"/>
  <c r="H6" i="10"/>
  <c r="L6" i="10" s="1"/>
  <c r="M6" i="10" s="1"/>
  <c r="I13" i="11"/>
  <c r="H13" i="11"/>
  <c r="L13" i="11" s="1"/>
  <c r="M13" i="11" s="1"/>
  <c r="I5" i="8"/>
  <c r="H5" i="8"/>
  <c r="L5" i="8" s="1"/>
  <c r="M5" i="8" s="1"/>
  <c r="I14" i="11"/>
  <c r="H14" i="11"/>
  <c r="L14" i="11" s="1"/>
  <c r="M14" i="11" s="1"/>
  <c r="I12" i="11"/>
  <c r="H12" i="11"/>
  <c r="L12" i="11" s="1"/>
  <c r="M12" i="11" s="1"/>
  <c r="I9" i="10"/>
  <c r="H9" i="10"/>
  <c r="L9" i="10" s="1"/>
  <c r="M9" i="10" s="1"/>
  <c r="I8" i="10"/>
  <c r="H8" i="10"/>
  <c r="L8" i="10" s="1"/>
  <c r="M8" i="10" s="1"/>
  <c r="I11" i="11"/>
  <c r="H11" i="11"/>
  <c r="L11" i="11" s="1"/>
  <c r="M11" i="11" s="1"/>
  <c r="D4" i="9"/>
  <c r="D18" i="8"/>
  <c r="D10" i="10"/>
  <c r="E10" i="10" s="1"/>
  <c r="I10" i="10" l="1"/>
  <c r="H10" i="10"/>
  <c r="L10" i="10" s="1"/>
  <c r="M10" i="10" s="1"/>
  <c r="I4" i="9"/>
  <c r="H4" i="9"/>
  <c r="L4" i="9" s="1"/>
  <c r="D13" i="12"/>
  <c r="E13" i="12" s="1"/>
  <c r="D6" i="11"/>
  <c r="E6" i="11" s="1"/>
  <c r="D7" i="11"/>
  <c r="E7" i="11" s="1"/>
  <c r="D9" i="11"/>
  <c r="E9" i="11" s="1"/>
  <c r="D16" i="12"/>
  <c r="D12" i="12"/>
  <c r="E12" i="12" s="1"/>
  <c r="D15" i="12"/>
  <c r="E15" i="12" s="1"/>
  <c r="D14" i="12"/>
  <c r="E14" i="12" s="1"/>
  <c r="I18" i="8"/>
  <c r="E18" i="8"/>
  <c r="D11" i="12"/>
  <c r="E11" i="12" s="1"/>
  <c r="D8" i="11"/>
  <c r="E8" i="11" s="1"/>
  <c r="H18" i="8"/>
  <c r="D17" i="12"/>
  <c r="I17" i="12" l="1"/>
  <c r="H17" i="12"/>
  <c r="L17" i="12" s="1"/>
  <c r="I8" i="11"/>
  <c r="H8" i="11"/>
  <c r="L8" i="11" s="1"/>
  <c r="M8" i="11" s="1"/>
  <c r="I14" i="12"/>
  <c r="H14" i="12"/>
  <c r="L14" i="12" s="1"/>
  <c r="M14" i="12" s="1"/>
  <c r="I11" i="12"/>
  <c r="H11" i="12"/>
  <c r="L11" i="12" s="1"/>
  <c r="M11" i="12" s="1"/>
  <c r="I15" i="12"/>
  <c r="H15" i="12"/>
  <c r="L15" i="12" s="1"/>
  <c r="M15" i="12" s="1"/>
  <c r="I16" i="12"/>
  <c r="H16" i="12"/>
  <c r="L16" i="12" s="1"/>
  <c r="I7" i="11"/>
  <c r="H7" i="11"/>
  <c r="L7" i="11" s="1"/>
  <c r="M7" i="11" s="1"/>
  <c r="I13" i="12"/>
  <c r="H13" i="12"/>
  <c r="L13" i="12" s="1"/>
  <c r="M13" i="12" s="1"/>
  <c r="I12" i="12"/>
  <c r="H12" i="12"/>
  <c r="L12" i="12" s="1"/>
  <c r="M12" i="12" s="1"/>
  <c r="I9" i="11"/>
  <c r="H9" i="11"/>
  <c r="L9" i="11" s="1"/>
  <c r="M9" i="11" s="1"/>
  <c r="I6" i="11"/>
  <c r="H6" i="11"/>
  <c r="L6" i="11" s="1"/>
  <c r="M6" i="11" s="1"/>
  <c r="M18" i="8"/>
  <c r="D5" i="9"/>
  <c r="E5" i="9" s="1"/>
  <c r="L18" i="8"/>
  <c r="D10" i="11"/>
  <c r="E10" i="11" s="1"/>
  <c r="I5" i="9" l="1"/>
  <c r="H5" i="9"/>
  <c r="L5" i="9" s="1"/>
  <c r="M5" i="9" s="1"/>
  <c r="I10" i="11"/>
  <c r="H10" i="11"/>
  <c r="L10" i="11" s="1"/>
  <c r="M10" i="11" s="1"/>
  <c r="D13" i="13"/>
  <c r="E13" i="13" s="1"/>
  <c r="D7" i="12"/>
  <c r="E7" i="12" s="1"/>
  <c r="D16" i="13"/>
  <c r="D12" i="13"/>
  <c r="E12" i="13" s="1"/>
  <c r="D15" i="13"/>
  <c r="E15" i="13" s="1"/>
  <c r="D14" i="13"/>
  <c r="E14" i="13" s="1"/>
  <c r="D11" i="13"/>
  <c r="E11" i="13" s="1"/>
  <c r="D8" i="12"/>
  <c r="E8" i="12" s="1"/>
  <c r="D6" i="12"/>
  <c r="E6" i="12" s="1"/>
  <c r="D9" i="12"/>
  <c r="E9" i="12" s="1"/>
  <c r="D18" i="9"/>
  <c r="D4" i="10"/>
  <c r="D17" i="13"/>
  <c r="J18" i="2"/>
  <c r="M26" i="2" s="1"/>
  <c r="L18" i="2"/>
  <c r="K18" i="2"/>
  <c r="N18" i="2" s="1"/>
  <c r="M18" i="2"/>
  <c r="I17" i="13" l="1"/>
  <c r="H17" i="13"/>
  <c r="L17" i="13" s="1"/>
  <c r="I6" i="12"/>
  <c r="H6" i="12"/>
  <c r="L6" i="12" s="1"/>
  <c r="M6" i="12" s="1"/>
  <c r="I11" i="13"/>
  <c r="H11" i="13"/>
  <c r="L11" i="13" s="1"/>
  <c r="M11" i="13" s="1"/>
  <c r="I15" i="13"/>
  <c r="H15" i="13"/>
  <c r="L15" i="13" s="1"/>
  <c r="M15" i="13" s="1"/>
  <c r="I16" i="13"/>
  <c r="H16" i="13"/>
  <c r="L16" i="13" s="1"/>
  <c r="I13" i="13"/>
  <c r="H13" i="13"/>
  <c r="L13" i="13" s="1"/>
  <c r="M13" i="13" s="1"/>
  <c r="I9" i="12"/>
  <c r="H9" i="12"/>
  <c r="L9" i="12" s="1"/>
  <c r="M9" i="12" s="1"/>
  <c r="I8" i="12"/>
  <c r="H8" i="12"/>
  <c r="L8" i="12" s="1"/>
  <c r="M8" i="12" s="1"/>
  <c r="I14" i="13"/>
  <c r="H14" i="13"/>
  <c r="L14" i="13" s="1"/>
  <c r="M14" i="13" s="1"/>
  <c r="I12" i="13"/>
  <c r="H12" i="13"/>
  <c r="L12" i="13" s="1"/>
  <c r="M12" i="13" s="1"/>
  <c r="I7" i="12"/>
  <c r="H7" i="12"/>
  <c r="L7" i="12" s="1"/>
  <c r="M7" i="12" s="1"/>
  <c r="H4" i="10"/>
  <c r="L4" i="10" s="1"/>
  <c r="I4" i="10"/>
  <c r="I18" i="9"/>
  <c r="E18" i="9"/>
  <c r="H18" i="9"/>
  <c r="D10" i="12"/>
  <c r="E10" i="12" s="1"/>
  <c r="O18" i="2"/>
  <c r="P18" i="2" s="1"/>
  <c r="M25" i="2" s="1"/>
  <c r="L4" i="1" s="1"/>
  <c r="L5" i="1"/>
  <c r="I10" i="12" l="1"/>
  <c r="H10" i="12"/>
  <c r="L10" i="12" s="1"/>
  <c r="M10" i="12" s="1"/>
  <c r="D7" i="13"/>
  <c r="E7" i="13" s="1"/>
  <c r="D16" i="14"/>
  <c r="D12" i="14"/>
  <c r="E12" i="14" s="1"/>
  <c r="D15" i="14"/>
  <c r="E15" i="14" s="1"/>
  <c r="D14" i="14"/>
  <c r="E14" i="14" s="1"/>
  <c r="D11" i="14"/>
  <c r="E11" i="14" s="1"/>
  <c r="D8" i="13"/>
  <c r="E8" i="13" s="1"/>
  <c r="D6" i="13"/>
  <c r="E6" i="13" s="1"/>
  <c r="D9" i="13"/>
  <c r="E9" i="13" s="1"/>
  <c r="D13" i="14"/>
  <c r="E13" i="14" s="1"/>
  <c r="M18" i="9"/>
  <c r="D5" i="10"/>
  <c r="E5" i="10" s="1"/>
  <c r="L18" i="9"/>
  <c r="D17" i="14"/>
  <c r="L6" i="1"/>
  <c r="M27" i="2"/>
  <c r="I9" i="13" l="1"/>
  <c r="H9" i="13"/>
  <c r="L9" i="13" s="1"/>
  <c r="M9" i="13" s="1"/>
  <c r="I8" i="13"/>
  <c r="H8" i="13"/>
  <c r="L8" i="13" s="1"/>
  <c r="M8" i="13" s="1"/>
  <c r="I14" i="14"/>
  <c r="H14" i="14"/>
  <c r="L14" i="14" s="1"/>
  <c r="M14" i="14" s="1"/>
  <c r="I12" i="14"/>
  <c r="H12" i="14"/>
  <c r="L12" i="14" s="1"/>
  <c r="M12" i="14" s="1"/>
  <c r="I7" i="13"/>
  <c r="H7" i="13"/>
  <c r="L7" i="13" s="1"/>
  <c r="M7" i="13" s="1"/>
  <c r="I17" i="14"/>
  <c r="H17" i="14"/>
  <c r="L17" i="14" s="1"/>
  <c r="I5" i="10"/>
  <c r="H5" i="10"/>
  <c r="L5" i="10" s="1"/>
  <c r="M5" i="10" s="1"/>
  <c r="I13" i="14"/>
  <c r="H13" i="14"/>
  <c r="L13" i="14" s="1"/>
  <c r="M13" i="14" s="1"/>
  <c r="I6" i="13"/>
  <c r="H6" i="13"/>
  <c r="L6" i="13" s="1"/>
  <c r="M6" i="13" s="1"/>
  <c r="I11" i="14"/>
  <c r="H11" i="14"/>
  <c r="L11" i="14" s="1"/>
  <c r="M11" i="14" s="1"/>
  <c r="I15" i="14"/>
  <c r="H15" i="14"/>
  <c r="L15" i="14" s="1"/>
  <c r="M15" i="14" s="1"/>
  <c r="I16" i="14"/>
  <c r="H16" i="14"/>
  <c r="L16" i="14" s="1"/>
  <c r="D4" i="11"/>
  <c r="D18" i="10"/>
  <c r="D10" i="13"/>
  <c r="E10" i="13" s="1"/>
  <c r="I10" i="13" l="1"/>
  <c r="H10" i="13"/>
  <c r="L10" i="13" s="1"/>
  <c r="M10" i="13" s="1"/>
  <c r="I4" i="11"/>
  <c r="H4" i="11"/>
  <c r="L4" i="11" s="1"/>
  <c r="D7" i="14"/>
  <c r="E7" i="14" s="1"/>
  <c r="H18" i="10"/>
  <c r="D16" i="15"/>
  <c r="D12" i="15"/>
  <c r="E12" i="15" s="1"/>
  <c r="D15" i="15"/>
  <c r="E15" i="15" s="1"/>
  <c r="D14" i="15"/>
  <c r="E14" i="15" s="1"/>
  <c r="D11" i="15"/>
  <c r="E11" i="15" s="1"/>
  <c r="D8" i="14"/>
  <c r="E8" i="14" s="1"/>
  <c r="D6" i="14"/>
  <c r="E6" i="14" s="1"/>
  <c r="D9" i="14"/>
  <c r="E9" i="14" s="1"/>
  <c r="D13" i="15"/>
  <c r="E13" i="15" s="1"/>
  <c r="I18" i="10"/>
  <c r="E18" i="10"/>
  <c r="D17" i="15"/>
  <c r="I9" i="14" l="1"/>
  <c r="H9" i="14"/>
  <c r="L9" i="14" s="1"/>
  <c r="M9" i="14" s="1"/>
  <c r="I14" i="15"/>
  <c r="H14" i="15"/>
  <c r="L14" i="15" s="1"/>
  <c r="M14" i="15" s="1"/>
  <c r="I13" i="15"/>
  <c r="H13" i="15"/>
  <c r="L13" i="15" s="1"/>
  <c r="M13" i="15" s="1"/>
  <c r="I6" i="14"/>
  <c r="H6" i="14"/>
  <c r="L6" i="14" s="1"/>
  <c r="M6" i="14" s="1"/>
  <c r="I11" i="15"/>
  <c r="H11" i="15"/>
  <c r="L11" i="15" s="1"/>
  <c r="M11" i="15" s="1"/>
  <c r="I15" i="15"/>
  <c r="H15" i="15"/>
  <c r="L15" i="15" s="1"/>
  <c r="M15" i="15" s="1"/>
  <c r="I16" i="15"/>
  <c r="H16" i="15"/>
  <c r="L16" i="15" s="1"/>
  <c r="I7" i="14"/>
  <c r="H7" i="14"/>
  <c r="L7" i="14" s="1"/>
  <c r="M7" i="14" s="1"/>
  <c r="I17" i="15"/>
  <c r="H17" i="15"/>
  <c r="L17" i="15" s="1"/>
  <c r="I8" i="14"/>
  <c r="H8" i="14"/>
  <c r="L8" i="14" s="1"/>
  <c r="M8" i="14" s="1"/>
  <c r="I12" i="15"/>
  <c r="H12" i="15"/>
  <c r="L12" i="15" s="1"/>
  <c r="M12" i="15" s="1"/>
  <c r="D10" i="14"/>
  <c r="E10" i="14" s="1"/>
  <c r="M18" i="10"/>
  <c r="D5" i="11"/>
  <c r="E5" i="11" s="1"/>
  <c r="L18" i="10"/>
  <c r="I5" i="11" l="1"/>
  <c r="H5" i="11"/>
  <c r="L5" i="11" s="1"/>
  <c r="M5" i="11" s="1"/>
  <c r="I10" i="14"/>
  <c r="H10" i="14"/>
  <c r="L10" i="14" s="1"/>
  <c r="M10" i="14" s="1"/>
  <c r="D18" i="11"/>
  <c r="D16" i="16"/>
  <c r="D12" i="16"/>
  <c r="E12" i="16" s="1"/>
  <c r="D15" i="16"/>
  <c r="E15" i="16" s="1"/>
  <c r="D14" i="16"/>
  <c r="E14" i="16" s="1"/>
  <c r="D11" i="16"/>
  <c r="E11" i="16" s="1"/>
  <c r="D8" i="15"/>
  <c r="E8" i="15" s="1"/>
  <c r="D6" i="15"/>
  <c r="E6" i="15" s="1"/>
  <c r="D7" i="15"/>
  <c r="E7" i="15" s="1"/>
  <c r="D4" i="12"/>
  <c r="D9" i="15"/>
  <c r="E9" i="15" s="1"/>
  <c r="D13" i="16"/>
  <c r="E13" i="16" s="1"/>
  <c r="D17" i="16"/>
  <c r="I13" i="16" l="1"/>
  <c r="H13" i="16"/>
  <c r="L13" i="16" s="1"/>
  <c r="M13" i="16" s="1"/>
  <c r="I6" i="15"/>
  <c r="H6" i="15"/>
  <c r="L6" i="15" s="1"/>
  <c r="M6" i="15" s="1"/>
  <c r="I17" i="16"/>
  <c r="H17" i="16"/>
  <c r="L17" i="16" s="1"/>
  <c r="I9" i="15"/>
  <c r="H9" i="15"/>
  <c r="L9" i="15" s="1"/>
  <c r="M9" i="15" s="1"/>
  <c r="I7" i="15"/>
  <c r="H7" i="15"/>
  <c r="L7" i="15" s="1"/>
  <c r="M7" i="15" s="1"/>
  <c r="I8" i="15"/>
  <c r="H8" i="15"/>
  <c r="L8" i="15" s="1"/>
  <c r="M8" i="15" s="1"/>
  <c r="I14" i="16"/>
  <c r="H14" i="16"/>
  <c r="L14" i="16" s="1"/>
  <c r="M14" i="16" s="1"/>
  <c r="I12" i="16"/>
  <c r="H12" i="16"/>
  <c r="L12" i="16" s="1"/>
  <c r="M12" i="16" s="1"/>
  <c r="I11" i="16"/>
  <c r="H11" i="16"/>
  <c r="L11" i="16" s="1"/>
  <c r="M11" i="16" s="1"/>
  <c r="I15" i="16"/>
  <c r="H15" i="16"/>
  <c r="L15" i="16" s="1"/>
  <c r="M15" i="16" s="1"/>
  <c r="I16" i="16"/>
  <c r="H16" i="16"/>
  <c r="L16" i="16" s="1"/>
  <c r="I4" i="12"/>
  <c r="H4" i="12"/>
  <c r="L4" i="12" s="1"/>
  <c r="D10" i="15"/>
  <c r="E10" i="15" s="1"/>
  <c r="I18" i="11"/>
  <c r="E18" i="11"/>
  <c r="H18" i="11"/>
  <c r="I10" i="15" l="1"/>
  <c r="H10" i="15"/>
  <c r="L10" i="15" s="1"/>
  <c r="M10" i="15" s="1"/>
  <c r="D12" i="17"/>
  <c r="E12" i="17" s="1"/>
  <c r="D15" i="17"/>
  <c r="E15" i="17" s="1"/>
  <c r="D14" i="17"/>
  <c r="E14" i="17" s="1"/>
  <c r="D11" i="17"/>
  <c r="E11" i="17" s="1"/>
  <c r="D8" i="16"/>
  <c r="E8" i="16" s="1"/>
  <c r="D6" i="16"/>
  <c r="E6" i="16" s="1"/>
  <c r="D7" i="16"/>
  <c r="E7" i="16" s="1"/>
  <c r="D16" i="17"/>
  <c r="M18" i="11"/>
  <c r="D5" i="12"/>
  <c r="E5" i="12" s="1"/>
  <c r="L18" i="11"/>
  <c r="D9" i="16"/>
  <c r="E9" i="16" s="1"/>
  <c r="D13" i="17"/>
  <c r="E13" i="17" s="1"/>
  <c r="D17" i="17"/>
  <c r="I9" i="16" l="1"/>
  <c r="H9" i="16"/>
  <c r="L9" i="16" s="1"/>
  <c r="M9" i="16" s="1"/>
  <c r="I13" i="17"/>
  <c r="H13" i="17"/>
  <c r="L13" i="17" s="1"/>
  <c r="M13" i="17" s="1"/>
  <c r="I7" i="16"/>
  <c r="H7" i="16"/>
  <c r="L7" i="16" s="1"/>
  <c r="M7" i="16" s="1"/>
  <c r="I8" i="16"/>
  <c r="H8" i="16"/>
  <c r="L8" i="16" s="1"/>
  <c r="M8" i="16" s="1"/>
  <c r="I14" i="17"/>
  <c r="H14" i="17"/>
  <c r="L14" i="17" s="1"/>
  <c r="M14" i="17" s="1"/>
  <c r="I12" i="17"/>
  <c r="H12" i="17"/>
  <c r="L12" i="17" s="1"/>
  <c r="M12" i="17" s="1"/>
  <c r="I17" i="17"/>
  <c r="H17" i="17"/>
  <c r="L17" i="17" s="1"/>
  <c r="I5" i="12"/>
  <c r="H5" i="12"/>
  <c r="L5" i="12" s="1"/>
  <c r="M5" i="12" s="1"/>
  <c r="I16" i="17"/>
  <c r="H16" i="17"/>
  <c r="L16" i="17" s="1"/>
  <c r="I6" i="16"/>
  <c r="H6" i="16"/>
  <c r="L6" i="16" s="1"/>
  <c r="M6" i="16" s="1"/>
  <c r="I11" i="17"/>
  <c r="H11" i="17"/>
  <c r="L11" i="17" s="1"/>
  <c r="M11" i="17" s="1"/>
  <c r="I15" i="17"/>
  <c r="H15" i="17"/>
  <c r="L15" i="17" s="1"/>
  <c r="M15" i="17" s="1"/>
  <c r="D10" i="16"/>
  <c r="E10" i="16" s="1"/>
  <c r="D18" i="12"/>
  <c r="D4" i="13"/>
  <c r="I10" i="16" l="1"/>
  <c r="H10" i="16"/>
  <c r="L10" i="16" s="1"/>
  <c r="M10" i="16" s="1"/>
  <c r="H4" i="13"/>
  <c r="L4" i="13" s="1"/>
  <c r="I4" i="13"/>
  <c r="D16" i="18"/>
  <c r="I18" i="12"/>
  <c r="E18" i="12"/>
  <c r="D12" i="18"/>
  <c r="E12" i="18" s="1"/>
  <c r="D15" i="18"/>
  <c r="E15" i="18" s="1"/>
  <c r="D14" i="18"/>
  <c r="E14" i="18" s="1"/>
  <c r="D11" i="18"/>
  <c r="E11" i="18" s="1"/>
  <c r="D8" i="17"/>
  <c r="E8" i="17" s="1"/>
  <c r="D6" i="17"/>
  <c r="E6" i="17" s="1"/>
  <c r="D7" i="17"/>
  <c r="E7" i="17" s="1"/>
  <c r="H18" i="12"/>
  <c r="D9" i="17"/>
  <c r="E9" i="17" s="1"/>
  <c r="D13" i="18"/>
  <c r="E13" i="18" s="1"/>
  <c r="D17" i="18"/>
  <c r="I17" i="18" l="1"/>
  <c r="H17" i="18"/>
  <c r="L17" i="18" s="1"/>
  <c r="I13" i="18"/>
  <c r="H13" i="18"/>
  <c r="L13" i="18" s="1"/>
  <c r="M13" i="18" s="1"/>
  <c r="I6" i="17"/>
  <c r="H6" i="17"/>
  <c r="L6" i="17" s="1"/>
  <c r="M6" i="17" s="1"/>
  <c r="I11" i="18"/>
  <c r="H11" i="18"/>
  <c r="L11" i="18" s="1"/>
  <c r="M11" i="18" s="1"/>
  <c r="I15" i="18"/>
  <c r="H15" i="18"/>
  <c r="L15" i="18" s="1"/>
  <c r="M15" i="18" s="1"/>
  <c r="I16" i="18"/>
  <c r="H16" i="18"/>
  <c r="L16" i="18" s="1"/>
  <c r="I9" i="17"/>
  <c r="H9" i="17"/>
  <c r="L9" i="17" s="1"/>
  <c r="M9" i="17" s="1"/>
  <c r="I7" i="17"/>
  <c r="H7" i="17"/>
  <c r="L7" i="17" s="1"/>
  <c r="M7" i="17" s="1"/>
  <c r="I8" i="17"/>
  <c r="H8" i="17"/>
  <c r="L8" i="17" s="1"/>
  <c r="M8" i="17" s="1"/>
  <c r="I14" i="18"/>
  <c r="H14" i="18"/>
  <c r="L14" i="18" s="1"/>
  <c r="M14" i="18" s="1"/>
  <c r="I12" i="18"/>
  <c r="H12" i="18"/>
  <c r="L12" i="18" s="1"/>
  <c r="M12" i="18" s="1"/>
  <c r="D10" i="17"/>
  <c r="E10" i="17" s="1"/>
  <c r="M18" i="12"/>
  <c r="D5" i="13"/>
  <c r="E5" i="13" s="1"/>
  <c r="L18" i="12"/>
  <c r="I5" i="13" l="1"/>
  <c r="H5" i="13"/>
  <c r="L5" i="13" s="1"/>
  <c r="M5" i="13" s="1"/>
  <c r="I10" i="17"/>
  <c r="H10" i="17"/>
  <c r="L10" i="17" s="1"/>
  <c r="M10" i="17" s="1"/>
  <c r="D4" i="14"/>
  <c r="D18" i="13"/>
  <c r="D16" i="19"/>
  <c r="D12" i="19"/>
  <c r="E12" i="19" s="1"/>
  <c r="D15" i="19"/>
  <c r="E15" i="19" s="1"/>
  <c r="D14" i="19"/>
  <c r="E14" i="19" s="1"/>
  <c r="D11" i="19"/>
  <c r="E11" i="19" s="1"/>
  <c r="D8" i="18"/>
  <c r="E8" i="18" s="1"/>
  <c r="D6" i="18"/>
  <c r="E6" i="18" s="1"/>
  <c r="D7" i="18"/>
  <c r="E7" i="18" s="1"/>
  <c r="D9" i="18"/>
  <c r="E9" i="18" s="1"/>
  <c r="D13" i="19"/>
  <c r="E13" i="19" s="1"/>
  <c r="D17" i="19"/>
  <c r="I13" i="19" l="1"/>
  <c r="H13" i="19"/>
  <c r="L13" i="19" s="1"/>
  <c r="M13" i="19" s="1"/>
  <c r="I8" i="18"/>
  <c r="H8" i="18"/>
  <c r="L8" i="18" s="1"/>
  <c r="M8" i="18" s="1"/>
  <c r="I17" i="19"/>
  <c r="H17" i="19"/>
  <c r="L17" i="19" s="1"/>
  <c r="I9" i="18"/>
  <c r="H9" i="18"/>
  <c r="L9" i="18" s="1"/>
  <c r="M9" i="18" s="1"/>
  <c r="I6" i="18"/>
  <c r="H6" i="18"/>
  <c r="L6" i="18" s="1"/>
  <c r="M6" i="18" s="1"/>
  <c r="I11" i="19"/>
  <c r="H11" i="19"/>
  <c r="L11" i="19" s="1"/>
  <c r="M11" i="19" s="1"/>
  <c r="I15" i="19"/>
  <c r="H15" i="19"/>
  <c r="L15" i="19" s="1"/>
  <c r="M15" i="19" s="1"/>
  <c r="I16" i="19"/>
  <c r="H16" i="19"/>
  <c r="L16" i="19" s="1"/>
  <c r="I7" i="18"/>
  <c r="H7" i="18"/>
  <c r="L7" i="18" s="1"/>
  <c r="M7" i="18" s="1"/>
  <c r="I14" i="19"/>
  <c r="H14" i="19"/>
  <c r="L14" i="19" s="1"/>
  <c r="M14" i="19" s="1"/>
  <c r="I12" i="19"/>
  <c r="H12" i="19"/>
  <c r="L12" i="19" s="1"/>
  <c r="M12" i="19" s="1"/>
  <c r="H4" i="14"/>
  <c r="L4" i="14" s="1"/>
  <c r="I4" i="14"/>
  <c r="H18" i="13"/>
  <c r="D10" i="18"/>
  <c r="E10" i="18" s="1"/>
  <c r="I18" i="13"/>
  <c r="E18" i="13"/>
  <c r="I10" i="18" l="1"/>
  <c r="H10" i="18"/>
  <c r="L10" i="18" s="1"/>
  <c r="M10" i="18" s="1"/>
  <c r="D16" i="20"/>
  <c r="D12" i="20"/>
  <c r="E12" i="20" s="1"/>
  <c r="D15" i="20"/>
  <c r="E15" i="20" s="1"/>
  <c r="D14" i="20"/>
  <c r="E14" i="20" s="1"/>
  <c r="D11" i="20"/>
  <c r="E11" i="20" s="1"/>
  <c r="D8" i="19"/>
  <c r="E8" i="19" s="1"/>
  <c r="D6" i="19"/>
  <c r="E6" i="19" s="1"/>
  <c r="D7" i="19"/>
  <c r="E7" i="19" s="1"/>
  <c r="D9" i="19"/>
  <c r="E9" i="19" s="1"/>
  <c r="D13" i="20"/>
  <c r="E13" i="20" s="1"/>
  <c r="D17" i="20"/>
  <c r="M18" i="13"/>
  <c r="D5" i="14"/>
  <c r="E5" i="14" s="1"/>
  <c r="L18" i="13"/>
  <c r="I7" i="19" l="1"/>
  <c r="H7" i="19"/>
  <c r="L7" i="19" s="1"/>
  <c r="M7" i="19" s="1"/>
  <c r="I5" i="14"/>
  <c r="H5" i="14"/>
  <c r="L5" i="14" s="1"/>
  <c r="M5" i="14" s="1"/>
  <c r="I17" i="20"/>
  <c r="H17" i="20"/>
  <c r="L17" i="20" s="1"/>
  <c r="I9" i="19"/>
  <c r="H9" i="19"/>
  <c r="L9" i="19" s="1"/>
  <c r="M9" i="19" s="1"/>
  <c r="I6" i="19"/>
  <c r="H6" i="19"/>
  <c r="L6" i="19" s="1"/>
  <c r="M6" i="19" s="1"/>
  <c r="I11" i="20"/>
  <c r="H11" i="20"/>
  <c r="L11" i="20" s="1"/>
  <c r="M11" i="20" s="1"/>
  <c r="I15" i="20"/>
  <c r="H15" i="20"/>
  <c r="L15" i="20" s="1"/>
  <c r="M15" i="20" s="1"/>
  <c r="I16" i="20"/>
  <c r="H16" i="20"/>
  <c r="L16" i="20" s="1"/>
  <c r="I13" i="20"/>
  <c r="H13" i="20"/>
  <c r="L13" i="20" s="1"/>
  <c r="M13" i="20" s="1"/>
  <c r="I8" i="19"/>
  <c r="H8" i="19"/>
  <c r="L8" i="19" s="1"/>
  <c r="M8" i="19" s="1"/>
  <c r="I14" i="20"/>
  <c r="H14" i="20"/>
  <c r="L14" i="20" s="1"/>
  <c r="M14" i="20" s="1"/>
  <c r="I12" i="20"/>
  <c r="H12" i="20"/>
  <c r="L12" i="20" s="1"/>
  <c r="M12" i="20" s="1"/>
  <c r="D18" i="14"/>
  <c r="D4" i="15"/>
  <c r="D10" i="19"/>
  <c r="E10" i="19" s="1"/>
  <c r="I10" i="19" l="1"/>
  <c r="H10" i="19"/>
  <c r="L10" i="19" s="1"/>
  <c r="M10" i="19" s="1"/>
  <c r="H4" i="15"/>
  <c r="L4" i="15" s="1"/>
  <c r="I4" i="15"/>
  <c r="I18" i="14"/>
  <c r="E18" i="14"/>
  <c r="D16" i="21"/>
  <c r="D12" i="21"/>
  <c r="E12" i="21" s="1"/>
  <c r="D15" i="21"/>
  <c r="E15" i="21" s="1"/>
  <c r="D14" i="21"/>
  <c r="E14" i="21" s="1"/>
  <c r="D11" i="21"/>
  <c r="E11" i="21" s="1"/>
  <c r="D8" i="20"/>
  <c r="E8" i="20" s="1"/>
  <c r="D6" i="20"/>
  <c r="E6" i="20" s="1"/>
  <c r="D7" i="20"/>
  <c r="E7" i="20" s="1"/>
  <c r="D9" i="20"/>
  <c r="E9" i="20" s="1"/>
  <c r="D13" i="21"/>
  <c r="E13" i="21" s="1"/>
  <c r="D17" i="21"/>
  <c r="H18" i="14"/>
  <c r="I13" i="21" l="1"/>
  <c r="H13" i="21"/>
  <c r="L13" i="21" s="1"/>
  <c r="M13" i="21" s="1"/>
  <c r="I17" i="21"/>
  <c r="H17" i="21"/>
  <c r="L17" i="21" s="1"/>
  <c r="I9" i="20"/>
  <c r="H9" i="20"/>
  <c r="L9" i="20" s="1"/>
  <c r="M9" i="20" s="1"/>
  <c r="I6" i="20"/>
  <c r="H6" i="20"/>
  <c r="L6" i="20" s="1"/>
  <c r="M6" i="20" s="1"/>
  <c r="I11" i="21"/>
  <c r="H11" i="21"/>
  <c r="L11" i="21" s="1"/>
  <c r="M11" i="21" s="1"/>
  <c r="I15" i="21"/>
  <c r="H15" i="21"/>
  <c r="L15" i="21" s="1"/>
  <c r="M15" i="21" s="1"/>
  <c r="I16" i="21"/>
  <c r="H16" i="21"/>
  <c r="L16" i="21" s="1"/>
  <c r="I7" i="20"/>
  <c r="H7" i="20"/>
  <c r="L7" i="20" s="1"/>
  <c r="M7" i="20" s="1"/>
  <c r="I8" i="20"/>
  <c r="H8" i="20"/>
  <c r="L8" i="20" s="1"/>
  <c r="M8" i="20" s="1"/>
  <c r="I14" i="21"/>
  <c r="H14" i="21"/>
  <c r="L14" i="21" s="1"/>
  <c r="M14" i="21" s="1"/>
  <c r="I12" i="21"/>
  <c r="H12" i="21"/>
  <c r="L12" i="21" s="1"/>
  <c r="M12" i="21" s="1"/>
  <c r="M18" i="14"/>
  <c r="D5" i="15"/>
  <c r="E5" i="15" s="1"/>
  <c r="L18" i="14"/>
  <c r="D10" i="20"/>
  <c r="E10" i="20" s="1"/>
  <c r="I5" i="15" l="1"/>
  <c r="H5" i="15"/>
  <c r="L5" i="15" s="1"/>
  <c r="M5" i="15" s="1"/>
  <c r="I10" i="20"/>
  <c r="H10" i="20"/>
  <c r="L10" i="20" s="1"/>
  <c r="M10" i="20" s="1"/>
  <c r="D15" i="22"/>
  <c r="E15" i="22" s="1"/>
  <c r="D11" i="22"/>
  <c r="E11" i="22" s="1"/>
  <c r="D8" i="21"/>
  <c r="E8" i="21" s="1"/>
  <c r="D6" i="21"/>
  <c r="E6" i="21" s="1"/>
  <c r="D7" i="21"/>
  <c r="E7" i="21" s="1"/>
  <c r="D9" i="21"/>
  <c r="E9" i="21" s="1"/>
  <c r="D13" i="22"/>
  <c r="E13" i="22" s="1"/>
  <c r="D17" i="22"/>
  <c r="D16" i="22"/>
  <c r="D12" i="22"/>
  <c r="E12" i="22" s="1"/>
  <c r="D14" i="22"/>
  <c r="E14" i="22" s="1"/>
  <c r="D4" i="16"/>
  <c r="D18" i="15"/>
  <c r="I12" i="22" l="1"/>
  <c r="H12" i="22"/>
  <c r="L12" i="22" s="1"/>
  <c r="M12" i="22" s="1"/>
  <c r="I14" i="22"/>
  <c r="H14" i="22"/>
  <c r="L14" i="22" s="1"/>
  <c r="M14" i="22" s="1"/>
  <c r="I16" i="22"/>
  <c r="H16" i="22"/>
  <c r="L16" i="22" s="1"/>
  <c r="I13" i="22"/>
  <c r="H13" i="22"/>
  <c r="L13" i="22" s="1"/>
  <c r="M13" i="22" s="1"/>
  <c r="I7" i="21"/>
  <c r="H7" i="21"/>
  <c r="L7" i="21" s="1"/>
  <c r="M7" i="21" s="1"/>
  <c r="I8" i="21"/>
  <c r="H8" i="21"/>
  <c r="L8" i="21" s="1"/>
  <c r="M8" i="21" s="1"/>
  <c r="I15" i="22"/>
  <c r="H15" i="22"/>
  <c r="L15" i="22" s="1"/>
  <c r="M15" i="22" s="1"/>
  <c r="I17" i="22"/>
  <c r="H17" i="22"/>
  <c r="L17" i="22" s="1"/>
  <c r="I9" i="21"/>
  <c r="H9" i="21"/>
  <c r="L9" i="21" s="1"/>
  <c r="M9" i="21" s="1"/>
  <c r="I6" i="21"/>
  <c r="H6" i="21"/>
  <c r="L6" i="21" s="1"/>
  <c r="M6" i="21" s="1"/>
  <c r="I11" i="22"/>
  <c r="H11" i="22"/>
  <c r="L11" i="22" s="1"/>
  <c r="M11" i="22" s="1"/>
  <c r="H4" i="16"/>
  <c r="L4" i="16" s="1"/>
  <c r="I4" i="16"/>
  <c r="I18" i="15"/>
  <c r="E18" i="15"/>
  <c r="H18" i="15"/>
  <c r="D10" i="21"/>
  <c r="E10" i="21" s="1"/>
  <c r="I10" i="21" l="1"/>
  <c r="H10" i="21"/>
  <c r="L10" i="21" s="1"/>
  <c r="M10" i="21" s="1"/>
  <c r="D15" i="23"/>
  <c r="E15" i="23" s="1"/>
  <c r="D11" i="23"/>
  <c r="E11" i="23" s="1"/>
  <c r="D8" i="22"/>
  <c r="E8" i="22" s="1"/>
  <c r="D6" i="22"/>
  <c r="E6" i="22" s="1"/>
  <c r="D7" i="22"/>
  <c r="E7" i="22" s="1"/>
  <c r="D9" i="22"/>
  <c r="E9" i="22" s="1"/>
  <c r="D13" i="23"/>
  <c r="E13" i="23" s="1"/>
  <c r="D17" i="23"/>
  <c r="M18" i="15"/>
  <c r="D5" i="16"/>
  <c r="E5" i="16" s="1"/>
  <c r="L18" i="15"/>
  <c r="D16" i="23"/>
  <c r="D14" i="23"/>
  <c r="E14" i="23" s="1"/>
  <c r="D12" i="23"/>
  <c r="E12" i="23" s="1"/>
  <c r="I12" i="23" l="1"/>
  <c r="H12" i="23"/>
  <c r="L12" i="23" s="1"/>
  <c r="M12" i="23" s="1"/>
  <c r="I16" i="23"/>
  <c r="H16" i="23"/>
  <c r="L16" i="23" s="1"/>
  <c r="I14" i="23"/>
  <c r="H14" i="23"/>
  <c r="L14" i="23" s="1"/>
  <c r="M14" i="23" s="1"/>
  <c r="I13" i="23"/>
  <c r="H13" i="23"/>
  <c r="L13" i="23" s="1"/>
  <c r="M13" i="23" s="1"/>
  <c r="I7" i="22"/>
  <c r="H7" i="22"/>
  <c r="L7" i="22" s="1"/>
  <c r="M7" i="22" s="1"/>
  <c r="I8" i="22"/>
  <c r="H8" i="22"/>
  <c r="L8" i="22" s="1"/>
  <c r="M8" i="22" s="1"/>
  <c r="I15" i="23"/>
  <c r="H15" i="23"/>
  <c r="L15" i="23" s="1"/>
  <c r="M15" i="23" s="1"/>
  <c r="I5" i="16"/>
  <c r="H5" i="16"/>
  <c r="L5" i="16" s="1"/>
  <c r="M5" i="16" s="1"/>
  <c r="I17" i="23"/>
  <c r="H17" i="23"/>
  <c r="L17" i="23" s="1"/>
  <c r="I9" i="22"/>
  <c r="H9" i="22"/>
  <c r="L9" i="22" s="1"/>
  <c r="M9" i="22" s="1"/>
  <c r="I6" i="22"/>
  <c r="H6" i="22"/>
  <c r="L6" i="22" s="1"/>
  <c r="M6" i="22" s="1"/>
  <c r="I11" i="23"/>
  <c r="H11" i="23"/>
  <c r="L11" i="23" s="1"/>
  <c r="M11" i="23" s="1"/>
  <c r="D4" i="17"/>
  <c r="D18" i="16"/>
  <c r="D10" i="22"/>
  <c r="E10" i="22" s="1"/>
  <c r="I10" i="22" l="1"/>
  <c r="H10" i="22"/>
  <c r="L10" i="22" s="1"/>
  <c r="M10" i="22" s="1"/>
  <c r="I4" i="17"/>
  <c r="H4" i="17"/>
  <c r="L4" i="17" s="1"/>
  <c r="D15" i="24"/>
  <c r="E15" i="24" s="1"/>
  <c r="H18" i="16"/>
  <c r="D11" i="24"/>
  <c r="E11" i="24" s="1"/>
  <c r="D8" i="23"/>
  <c r="E8" i="23" s="1"/>
  <c r="D6" i="23"/>
  <c r="E6" i="23" s="1"/>
  <c r="D7" i="23"/>
  <c r="E7" i="23" s="1"/>
  <c r="D9" i="23"/>
  <c r="E9" i="23" s="1"/>
  <c r="D13" i="24"/>
  <c r="E13" i="24" s="1"/>
  <c r="D17" i="24"/>
  <c r="I18" i="16"/>
  <c r="E18" i="16"/>
  <c r="D16" i="24"/>
  <c r="D12" i="24"/>
  <c r="E12" i="24" s="1"/>
  <c r="D14" i="24"/>
  <c r="E14" i="24" s="1"/>
  <c r="I14" i="24" l="1"/>
  <c r="H14" i="24"/>
  <c r="L14" i="24" s="1"/>
  <c r="M14" i="24" s="1"/>
  <c r="I16" i="24"/>
  <c r="H16" i="24"/>
  <c r="L16" i="24" s="1"/>
  <c r="I13" i="24"/>
  <c r="H13" i="24"/>
  <c r="L13" i="24" s="1"/>
  <c r="M13" i="24" s="1"/>
  <c r="I8" i="23"/>
  <c r="H8" i="23"/>
  <c r="L8" i="23" s="1"/>
  <c r="M8" i="23" s="1"/>
  <c r="I12" i="24"/>
  <c r="H12" i="24"/>
  <c r="L12" i="24" s="1"/>
  <c r="M12" i="24" s="1"/>
  <c r="I17" i="24"/>
  <c r="H17" i="24"/>
  <c r="L17" i="24" s="1"/>
  <c r="I9" i="23"/>
  <c r="H9" i="23"/>
  <c r="L9" i="23" s="1"/>
  <c r="M9" i="23" s="1"/>
  <c r="I6" i="23"/>
  <c r="H6" i="23"/>
  <c r="L6" i="23" s="1"/>
  <c r="M6" i="23" s="1"/>
  <c r="I11" i="24"/>
  <c r="H11" i="24"/>
  <c r="L11" i="24" s="1"/>
  <c r="M11" i="24" s="1"/>
  <c r="I15" i="24"/>
  <c r="H15" i="24"/>
  <c r="L15" i="24" s="1"/>
  <c r="M15" i="24" s="1"/>
  <c r="I7" i="23"/>
  <c r="H7" i="23"/>
  <c r="L7" i="23" s="1"/>
  <c r="M7" i="23" s="1"/>
  <c r="D10" i="23"/>
  <c r="E10" i="23" s="1"/>
  <c r="M18" i="16"/>
  <c r="D5" i="17"/>
  <c r="E5" i="17" s="1"/>
  <c r="L18" i="16"/>
  <c r="I5" i="17" l="1"/>
  <c r="H5" i="17"/>
  <c r="L5" i="17" s="1"/>
  <c r="M5" i="17" s="1"/>
  <c r="I10" i="23"/>
  <c r="H10" i="23"/>
  <c r="L10" i="23" s="1"/>
  <c r="M10" i="23" s="1"/>
  <c r="D15" i="25"/>
  <c r="E15" i="25" s="1"/>
  <c r="D4" i="18"/>
  <c r="D18" i="17"/>
  <c r="D11" i="25"/>
  <c r="E11" i="25" s="1"/>
  <c r="D8" i="24"/>
  <c r="E8" i="24" s="1"/>
  <c r="D6" i="24"/>
  <c r="E6" i="24" s="1"/>
  <c r="D7" i="24"/>
  <c r="E7" i="24" s="1"/>
  <c r="D9" i="24"/>
  <c r="E9" i="24" s="1"/>
  <c r="D13" i="25"/>
  <c r="E13" i="25" s="1"/>
  <c r="D17" i="25"/>
  <c r="D16" i="25"/>
  <c r="D12" i="25"/>
  <c r="E12" i="25" s="1"/>
  <c r="D14" i="25"/>
  <c r="E14" i="25" s="1"/>
  <c r="I17" i="25" l="1"/>
  <c r="H17" i="25"/>
  <c r="L17" i="25" s="1"/>
  <c r="I9" i="24"/>
  <c r="H9" i="24"/>
  <c r="L9" i="24" s="1"/>
  <c r="M9" i="24" s="1"/>
  <c r="I14" i="25"/>
  <c r="H14" i="25"/>
  <c r="L14" i="25" s="1"/>
  <c r="M14" i="25" s="1"/>
  <c r="I16" i="25"/>
  <c r="H16" i="25"/>
  <c r="L16" i="25" s="1"/>
  <c r="I13" i="25"/>
  <c r="H13" i="25"/>
  <c r="L13" i="25" s="1"/>
  <c r="M13" i="25" s="1"/>
  <c r="I7" i="24"/>
  <c r="H7" i="24"/>
  <c r="L7" i="24" s="1"/>
  <c r="M7" i="24" s="1"/>
  <c r="I8" i="24"/>
  <c r="H8" i="24"/>
  <c r="L8" i="24" s="1"/>
  <c r="M8" i="24" s="1"/>
  <c r="I15" i="25"/>
  <c r="H15" i="25"/>
  <c r="L15" i="25" s="1"/>
  <c r="M15" i="25" s="1"/>
  <c r="I12" i="25"/>
  <c r="H12" i="25"/>
  <c r="L12" i="25" s="1"/>
  <c r="M12" i="25" s="1"/>
  <c r="I6" i="24"/>
  <c r="H6" i="24"/>
  <c r="L6" i="24" s="1"/>
  <c r="M6" i="24" s="1"/>
  <c r="I11" i="25"/>
  <c r="H11" i="25"/>
  <c r="L11" i="25" s="1"/>
  <c r="M11" i="25" s="1"/>
  <c r="H4" i="18"/>
  <c r="L4" i="18" s="1"/>
  <c r="I4" i="18"/>
  <c r="H18" i="17"/>
  <c r="D10" i="24"/>
  <c r="E10" i="24" s="1"/>
  <c r="I18" i="17"/>
  <c r="E18" i="17"/>
  <c r="I10" i="24" l="1"/>
  <c r="H10" i="24"/>
  <c r="L10" i="24" s="1"/>
  <c r="M10" i="24" s="1"/>
  <c r="D11" i="26"/>
  <c r="E11" i="26" s="1"/>
  <c r="D8" i="25"/>
  <c r="E8" i="25" s="1"/>
  <c r="D6" i="25"/>
  <c r="E6" i="25" s="1"/>
  <c r="D7" i="25"/>
  <c r="E7" i="25" s="1"/>
  <c r="D9" i="25"/>
  <c r="E9" i="25" s="1"/>
  <c r="D13" i="26"/>
  <c r="E13" i="26" s="1"/>
  <c r="D17" i="26"/>
  <c r="D16" i="26"/>
  <c r="D12" i="26"/>
  <c r="E12" i="26" s="1"/>
  <c r="D14" i="26"/>
  <c r="E14" i="26" s="1"/>
  <c r="M18" i="17"/>
  <c r="D5" i="18"/>
  <c r="E5" i="18" s="1"/>
  <c r="L18" i="17"/>
  <c r="D15" i="26"/>
  <c r="E15" i="26" s="1"/>
  <c r="D10" i="25" l="1"/>
  <c r="E10" i="25" s="1"/>
  <c r="I15" i="26"/>
  <c r="H15" i="26"/>
  <c r="L15" i="26" s="1"/>
  <c r="M15" i="26" s="1"/>
  <c r="I14" i="26"/>
  <c r="H14" i="26"/>
  <c r="L14" i="26" s="1"/>
  <c r="M14" i="26" s="1"/>
  <c r="I12" i="26"/>
  <c r="H12" i="26"/>
  <c r="L12" i="26" s="1"/>
  <c r="M12" i="26" s="1"/>
  <c r="I17" i="26"/>
  <c r="H17" i="26"/>
  <c r="L17" i="26" s="1"/>
  <c r="I9" i="25"/>
  <c r="H9" i="25"/>
  <c r="L9" i="25" s="1"/>
  <c r="M9" i="25" s="1"/>
  <c r="I6" i="25"/>
  <c r="H6" i="25"/>
  <c r="L6" i="25" s="1"/>
  <c r="M6" i="25" s="1"/>
  <c r="I11" i="26"/>
  <c r="H11" i="26"/>
  <c r="L11" i="26" s="1"/>
  <c r="M11" i="26" s="1"/>
  <c r="I5" i="18"/>
  <c r="H5" i="18"/>
  <c r="L5" i="18" s="1"/>
  <c r="M5" i="18" s="1"/>
  <c r="I16" i="26"/>
  <c r="H16" i="26"/>
  <c r="L16" i="26" s="1"/>
  <c r="I13" i="26"/>
  <c r="H13" i="26"/>
  <c r="L13" i="26" s="1"/>
  <c r="M13" i="26" s="1"/>
  <c r="I7" i="25"/>
  <c r="H7" i="25"/>
  <c r="L7" i="25" s="1"/>
  <c r="M7" i="25" s="1"/>
  <c r="I8" i="25"/>
  <c r="H8" i="25"/>
  <c r="L8" i="25" s="1"/>
  <c r="M8" i="25" s="1"/>
  <c r="D4" i="19"/>
  <c r="D18" i="18"/>
  <c r="I10" i="25" l="1"/>
  <c r="H10" i="25"/>
  <c r="L10" i="25" s="1"/>
  <c r="M10" i="25" s="1"/>
  <c r="I4" i="19"/>
  <c r="H4" i="19"/>
  <c r="L4" i="19" s="1"/>
  <c r="D11" i="27"/>
  <c r="E11" i="27" s="1"/>
  <c r="H18" i="18"/>
  <c r="D15" i="27"/>
  <c r="E15" i="27" s="1"/>
  <c r="D8" i="26"/>
  <c r="E8" i="26" s="1"/>
  <c r="D6" i="26"/>
  <c r="E6" i="26" s="1"/>
  <c r="D7" i="26"/>
  <c r="E7" i="26" s="1"/>
  <c r="D9" i="26"/>
  <c r="E9" i="26" s="1"/>
  <c r="D13" i="27"/>
  <c r="E13" i="27" s="1"/>
  <c r="D17" i="27"/>
  <c r="D16" i="27"/>
  <c r="D12" i="27"/>
  <c r="E12" i="27" s="1"/>
  <c r="D14" i="27"/>
  <c r="E14" i="27" s="1"/>
  <c r="I18" i="18"/>
  <c r="E18" i="18"/>
  <c r="I16" i="27" l="1"/>
  <c r="H16" i="27"/>
  <c r="L16" i="27" s="1"/>
  <c r="I7" i="26"/>
  <c r="H7" i="26"/>
  <c r="L7" i="26" s="1"/>
  <c r="M7" i="26" s="1"/>
  <c r="I12" i="27"/>
  <c r="H12" i="27"/>
  <c r="L12" i="27" s="1"/>
  <c r="M12" i="27" s="1"/>
  <c r="I17" i="27"/>
  <c r="H17" i="27"/>
  <c r="L17" i="27" s="1"/>
  <c r="I9" i="26"/>
  <c r="H9" i="26"/>
  <c r="L9" i="26" s="1"/>
  <c r="M9" i="26" s="1"/>
  <c r="I6" i="26"/>
  <c r="H6" i="26"/>
  <c r="L6" i="26" s="1"/>
  <c r="M6" i="26" s="1"/>
  <c r="I15" i="27"/>
  <c r="H15" i="27"/>
  <c r="L15" i="27" s="1"/>
  <c r="M15" i="27" s="1"/>
  <c r="I11" i="27"/>
  <c r="H11" i="27"/>
  <c r="L11" i="27" s="1"/>
  <c r="M11" i="27" s="1"/>
  <c r="I14" i="27"/>
  <c r="H14" i="27"/>
  <c r="L14" i="27" s="1"/>
  <c r="M14" i="27" s="1"/>
  <c r="I13" i="27"/>
  <c r="H13" i="27"/>
  <c r="L13" i="27" s="1"/>
  <c r="M13" i="27" s="1"/>
  <c r="I8" i="26"/>
  <c r="H8" i="26"/>
  <c r="L8" i="26" s="1"/>
  <c r="M8" i="26" s="1"/>
  <c r="D10" i="26"/>
  <c r="E10" i="26" s="1"/>
  <c r="M18" i="18"/>
  <c r="D5" i="19"/>
  <c r="E5" i="19" s="1"/>
  <c r="L18" i="18"/>
  <c r="I5" i="19" l="1"/>
  <c r="H5" i="19"/>
  <c r="L5" i="19" s="1"/>
  <c r="M5" i="19" s="1"/>
  <c r="I10" i="26"/>
  <c r="H10" i="26"/>
  <c r="L10" i="26" s="1"/>
  <c r="M10" i="26" s="1"/>
  <c r="D11" i="28"/>
  <c r="E11" i="28" s="1"/>
  <c r="D15" i="28"/>
  <c r="E15" i="28" s="1"/>
  <c r="D4" i="20"/>
  <c r="D18" i="19"/>
  <c r="D8" i="27"/>
  <c r="E8" i="27" s="1"/>
  <c r="D6" i="27"/>
  <c r="E6" i="27" s="1"/>
  <c r="D7" i="27"/>
  <c r="E7" i="27" s="1"/>
  <c r="D9" i="27"/>
  <c r="E9" i="27" s="1"/>
  <c r="D13" i="28"/>
  <c r="E13" i="28" s="1"/>
  <c r="D17" i="28"/>
  <c r="D16" i="28"/>
  <c r="D12" i="28"/>
  <c r="E12" i="28" s="1"/>
  <c r="D14" i="28"/>
  <c r="E14" i="28" s="1"/>
  <c r="I17" i="28" l="1"/>
  <c r="H17" i="28"/>
  <c r="L17" i="28" s="1"/>
  <c r="I9" i="27"/>
  <c r="H9" i="27"/>
  <c r="L9" i="27" s="1"/>
  <c r="M9" i="27" s="1"/>
  <c r="I14" i="28"/>
  <c r="H14" i="28"/>
  <c r="L14" i="28" s="1"/>
  <c r="M14" i="28" s="1"/>
  <c r="I16" i="28"/>
  <c r="H16" i="28"/>
  <c r="L16" i="28" s="1"/>
  <c r="I13" i="28"/>
  <c r="H13" i="28"/>
  <c r="L13" i="28" s="1"/>
  <c r="M13" i="28" s="1"/>
  <c r="I7" i="27"/>
  <c r="H7" i="27"/>
  <c r="L7" i="27" s="1"/>
  <c r="M7" i="27" s="1"/>
  <c r="I8" i="27"/>
  <c r="H8" i="27"/>
  <c r="L8" i="27" s="1"/>
  <c r="M8" i="27" s="1"/>
  <c r="I11" i="28"/>
  <c r="H11" i="28"/>
  <c r="L11" i="28" s="1"/>
  <c r="M11" i="28" s="1"/>
  <c r="I12" i="28"/>
  <c r="H12" i="28"/>
  <c r="L12" i="28" s="1"/>
  <c r="M12" i="28" s="1"/>
  <c r="I6" i="27"/>
  <c r="H6" i="27"/>
  <c r="L6" i="27" s="1"/>
  <c r="M6" i="27" s="1"/>
  <c r="I15" i="28"/>
  <c r="H15" i="28"/>
  <c r="L15" i="28" s="1"/>
  <c r="M15" i="28" s="1"/>
  <c r="I4" i="20"/>
  <c r="H4" i="20"/>
  <c r="L4" i="20" s="1"/>
  <c r="H18" i="19"/>
  <c r="D10" i="27"/>
  <c r="E10" i="27" s="1"/>
  <c r="I18" i="19"/>
  <c r="E18" i="19"/>
  <c r="I10" i="27" l="1"/>
  <c r="H10" i="27"/>
  <c r="L10" i="27" s="1"/>
  <c r="M10" i="27" s="1"/>
  <c r="D15" i="29"/>
  <c r="E15" i="29" s="1"/>
  <c r="D8" i="28"/>
  <c r="E8" i="28" s="1"/>
  <c r="D6" i="28"/>
  <c r="E6" i="28" s="1"/>
  <c r="D7" i="28"/>
  <c r="E7" i="28" s="1"/>
  <c r="D9" i="28"/>
  <c r="E9" i="28" s="1"/>
  <c r="D13" i="29"/>
  <c r="E13" i="29" s="1"/>
  <c r="D17" i="29"/>
  <c r="D16" i="29"/>
  <c r="D12" i="29"/>
  <c r="E12" i="29" s="1"/>
  <c r="D14" i="29"/>
  <c r="E14" i="29" s="1"/>
  <c r="M18" i="19"/>
  <c r="D5" i="20"/>
  <c r="E5" i="20" s="1"/>
  <c r="L18" i="19"/>
  <c r="D11" i="29"/>
  <c r="E11" i="29" s="1"/>
  <c r="I11" i="29" l="1"/>
  <c r="H11" i="29"/>
  <c r="L11" i="29" s="1"/>
  <c r="M11" i="29" s="1"/>
  <c r="I14" i="29"/>
  <c r="H14" i="29"/>
  <c r="L14" i="29" s="1"/>
  <c r="M14" i="29" s="1"/>
  <c r="I12" i="29"/>
  <c r="H12" i="29"/>
  <c r="L12" i="29" s="1"/>
  <c r="M12" i="29" s="1"/>
  <c r="I17" i="29"/>
  <c r="H17" i="29"/>
  <c r="L17" i="29" s="1"/>
  <c r="I9" i="28"/>
  <c r="H9" i="28"/>
  <c r="L9" i="28" s="1"/>
  <c r="M9" i="28" s="1"/>
  <c r="I6" i="28"/>
  <c r="H6" i="28"/>
  <c r="L6" i="28" s="1"/>
  <c r="M6" i="28" s="1"/>
  <c r="I15" i="29"/>
  <c r="H15" i="29"/>
  <c r="L15" i="29" s="1"/>
  <c r="M15" i="29" s="1"/>
  <c r="I5" i="20"/>
  <c r="H5" i="20"/>
  <c r="L5" i="20" s="1"/>
  <c r="M5" i="20" s="1"/>
  <c r="I16" i="29"/>
  <c r="H16" i="29"/>
  <c r="L16" i="29" s="1"/>
  <c r="I13" i="29"/>
  <c r="H13" i="29"/>
  <c r="L13" i="29" s="1"/>
  <c r="M13" i="29" s="1"/>
  <c r="I7" i="28"/>
  <c r="H7" i="28"/>
  <c r="L7" i="28" s="1"/>
  <c r="M7" i="28" s="1"/>
  <c r="I8" i="28"/>
  <c r="H8" i="28"/>
  <c r="L8" i="28" s="1"/>
  <c r="M8" i="28" s="1"/>
  <c r="D4" i="21"/>
  <c r="D18" i="20"/>
  <c r="D10" i="28"/>
  <c r="E10" i="28" s="1"/>
  <c r="I10" i="28" l="1"/>
  <c r="H10" i="28"/>
  <c r="L10" i="28" s="1"/>
  <c r="M10" i="28" s="1"/>
  <c r="H4" i="21"/>
  <c r="L4" i="21" s="1"/>
  <c r="I4" i="21"/>
  <c r="H18" i="20"/>
  <c r="D15" i="30"/>
  <c r="E15" i="30" s="1"/>
  <c r="D8" i="29"/>
  <c r="E8" i="29" s="1"/>
  <c r="D6" i="29"/>
  <c r="E6" i="29" s="1"/>
  <c r="D7" i="29"/>
  <c r="E7" i="29" s="1"/>
  <c r="D9" i="29"/>
  <c r="E9" i="29" s="1"/>
  <c r="D13" i="30"/>
  <c r="E13" i="30" s="1"/>
  <c r="D17" i="30"/>
  <c r="D16" i="30"/>
  <c r="D12" i="30"/>
  <c r="E12" i="30" s="1"/>
  <c r="D14" i="30"/>
  <c r="E14" i="30" s="1"/>
  <c r="I18" i="20"/>
  <c r="E18" i="20"/>
  <c r="D11" i="30"/>
  <c r="E11" i="30" s="1"/>
  <c r="I11" i="30" l="1"/>
  <c r="H11" i="30"/>
  <c r="L11" i="30" s="1"/>
  <c r="M11" i="30" s="1"/>
  <c r="I14" i="30"/>
  <c r="H14" i="30"/>
  <c r="L14" i="30" s="1"/>
  <c r="M14" i="30" s="1"/>
  <c r="I16" i="30"/>
  <c r="H16" i="30"/>
  <c r="L16" i="30" s="1"/>
  <c r="I13" i="30"/>
  <c r="H13" i="30"/>
  <c r="L13" i="30" s="1"/>
  <c r="M13" i="30" s="1"/>
  <c r="I7" i="29"/>
  <c r="H7" i="29"/>
  <c r="L7" i="29" s="1"/>
  <c r="M7" i="29" s="1"/>
  <c r="I8" i="29"/>
  <c r="H8" i="29"/>
  <c r="L8" i="29" s="1"/>
  <c r="M8" i="29" s="1"/>
  <c r="I12" i="30"/>
  <c r="H12" i="30"/>
  <c r="L12" i="30" s="1"/>
  <c r="M12" i="30" s="1"/>
  <c r="I17" i="30"/>
  <c r="H17" i="30"/>
  <c r="L17" i="30" s="1"/>
  <c r="I9" i="29"/>
  <c r="H9" i="29"/>
  <c r="L9" i="29" s="1"/>
  <c r="M9" i="29" s="1"/>
  <c r="I6" i="29"/>
  <c r="H6" i="29"/>
  <c r="L6" i="29" s="1"/>
  <c r="M6" i="29" s="1"/>
  <c r="I15" i="30"/>
  <c r="H15" i="30"/>
  <c r="L15" i="30" s="1"/>
  <c r="M15" i="30" s="1"/>
  <c r="D10" i="29"/>
  <c r="E10" i="29" s="1"/>
  <c r="M18" i="20"/>
  <c r="D5" i="21"/>
  <c r="E5" i="21" s="1"/>
  <c r="L18" i="20"/>
  <c r="I5" i="21" l="1"/>
  <c r="H5" i="21"/>
  <c r="L5" i="21" s="1"/>
  <c r="M5" i="21" s="1"/>
  <c r="I10" i="29"/>
  <c r="H10" i="29"/>
  <c r="L10" i="29" s="1"/>
  <c r="M10" i="29" s="1"/>
  <c r="D11" i="31"/>
  <c r="E11" i="31" s="1"/>
  <c r="D4" i="22"/>
  <c r="D18" i="21"/>
  <c r="D15" i="31"/>
  <c r="E15" i="31" s="1"/>
  <c r="D8" i="30"/>
  <c r="E8" i="30" s="1"/>
  <c r="D6" i="30"/>
  <c r="E6" i="30" s="1"/>
  <c r="D7" i="30"/>
  <c r="E7" i="30" s="1"/>
  <c r="D9" i="30"/>
  <c r="E9" i="30" s="1"/>
  <c r="D13" i="31"/>
  <c r="E13" i="31" s="1"/>
  <c r="D17" i="31"/>
  <c r="D16" i="31"/>
  <c r="D12" i="31"/>
  <c r="E12" i="31" s="1"/>
  <c r="D14" i="31"/>
  <c r="E14" i="31" s="1"/>
  <c r="I12" i="31" l="1"/>
  <c r="H12" i="31"/>
  <c r="L12" i="31" s="1"/>
  <c r="M12" i="31" s="1"/>
  <c r="I9" i="30"/>
  <c r="H9" i="30"/>
  <c r="L9" i="30" s="1"/>
  <c r="M9" i="30" s="1"/>
  <c r="I14" i="31"/>
  <c r="H14" i="31"/>
  <c r="L14" i="31" s="1"/>
  <c r="M14" i="31" s="1"/>
  <c r="I16" i="31"/>
  <c r="H16" i="31"/>
  <c r="L16" i="31" s="1"/>
  <c r="I13" i="31"/>
  <c r="H13" i="31"/>
  <c r="L13" i="31" s="1"/>
  <c r="M13" i="31" s="1"/>
  <c r="I7" i="30"/>
  <c r="H7" i="30"/>
  <c r="L7" i="30" s="1"/>
  <c r="M7" i="30" s="1"/>
  <c r="I8" i="30"/>
  <c r="H8" i="30"/>
  <c r="L8" i="30" s="1"/>
  <c r="M8" i="30" s="1"/>
  <c r="I11" i="31"/>
  <c r="H11" i="31"/>
  <c r="L11" i="31" s="1"/>
  <c r="M11" i="31" s="1"/>
  <c r="I17" i="31"/>
  <c r="H17" i="31"/>
  <c r="L17" i="31" s="1"/>
  <c r="I6" i="30"/>
  <c r="H6" i="30"/>
  <c r="L6" i="30" s="1"/>
  <c r="M6" i="30" s="1"/>
  <c r="I15" i="31"/>
  <c r="H15" i="31"/>
  <c r="L15" i="31" s="1"/>
  <c r="M15" i="31" s="1"/>
  <c r="H4" i="22"/>
  <c r="L4" i="22" s="1"/>
  <c r="I4" i="22"/>
  <c r="H18" i="21"/>
  <c r="D10" i="30"/>
  <c r="E10" i="30" s="1"/>
  <c r="I18" i="21"/>
  <c r="E18" i="21"/>
  <c r="I10" i="30" l="1"/>
  <c r="H10" i="30"/>
  <c r="L10" i="30" s="1"/>
  <c r="M10" i="30" s="1"/>
  <c r="D11" i="32"/>
  <c r="E11" i="32" s="1"/>
  <c r="D15" i="32"/>
  <c r="E15" i="32" s="1"/>
  <c r="D8" i="31"/>
  <c r="E8" i="31" s="1"/>
  <c r="D6" i="31"/>
  <c r="E6" i="31" s="1"/>
  <c r="D7" i="31"/>
  <c r="E7" i="31" s="1"/>
  <c r="D9" i="31"/>
  <c r="E9" i="31" s="1"/>
  <c r="D13" i="32"/>
  <c r="E13" i="32" s="1"/>
  <c r="D17" i="32"/>
  <c r="D16" i="32"/>
  <c r="D12" i="32"/>
  <c r="E12" i="32" s="1"/>
  <c r="D14" i="32"/>
  <c r="E14" i="32" s="1"/>
  <c r="M18" i="21"/>
  <c r="D5" i="22"/>
  <c r="E5" i="22" s="1"/>
  <c r="L18" i="21"/>
  <c r="I17" i="32" l="1"/>
  <c r="H17" i="32"/>
  <c r="L17" i="32" s="1"/>
  <c r="I5" i="22"/>
  <c r="H5" i="22"/>
  <c r="L5" i="22" s="1"/>
  <c r="M5" i="22" s="1"/>
  <c r="I14" i="32"/>
  <c r="H14" i="32"/>
  <c r="L14" i="32" s="1"/>
  <c r="M14" i="32" s="1"/>
  <c r="I16" i="32"/>
  <c r="H16" i="32"/>
  <c r="L16" i="32" s="1"/>
  <c r="I13" i="32"/>
  <c r="H13" i="32"/>
  <c r="L13" i="32" s="1"/>
  <c r="M13" i="32" s="1"/>
  <c r="I7" i="31"/>
  <c r="H7" i="31"/>
  <c r="L7" i="31" s="1"/>
  <c r="M7" i="31" s="1"/>
  <c r="I8" i="31"/>
  <c r="H8" i="31"/>
  <c r="L8" i="31" s="1"/>
  <c r="M8" i="31" s="1"/>
  <c r="I11" i="32"/>
  <c r="H11" i="32"/>
  <c r="L11" i="32" s="1"/>
  <c r="M11" i="32" s="1"/>
  <c r="I12" i="32"/>
  <c r="H12" i="32"/>
  <c r="L12" i="32" s="1"/>
  <c r="M12" i="32" s="1"/>
  <c r="I9" i="31"/>
  <c r="H9" i="31"/>
  <c r="L9" i="31" s="1"/>
  <c r="M9" i="31" s="1"/>
  <c r="I6" i="31"/>
  <c r="H6" i="31"/>
  <c r="L6" i="31" s="1"/>
  <c r="M6" i="31" s="1"/>
  <c r="I15" i="32"/>
  <c r="H15" i="32"/>
  <c r="L15" i="32" s="1"/>
  <c r="M15" i="32" s="1"/>
  <c r="D4" i="23"/>
  <c r="D18" i="22"/>
  <c r="D10" i="31"/>
  <c r="E10" i="31" s="1"/>
  <c r="I10" i="31" l="1"/>
  <c r="H10" i="31"/>
  <c r="L10" i="31" s="1"/>
  <c r="M10" i="31" s="1"/>
  <c r="I4" i="23"/>
  <c r="H4" i="23"/>
  <c r="L4" i="23" s="1"/>
  <c r="H18" i="22"/>
  <c r="D11" i="33"/>
  <c r="E11" i="33" s="1"/>
  <c r="D15" i="33"/>
  <c r="E15" i="33" s="1"/>
  <c r="D8" i="32"/>
  <c r="E8" i="32" s="1"/>
  <c r="D6" i="32"/>
  <c r="E6" i="32" s="1"/>
  <c r="D7" i="32"/>
  <c r="E7" i="32" s="1"/>
  <c r="D9" i="32"/>
  <c r="E9" i="32" s="1"/>
  <c r="D13" i="33"/>
  <c r="E13" i="33" s="1"/>
  <c r="D17" i="33"/>
  <c r="D16" i="33"/>
  <c r="D12" i="33"/>
  <c r="E12" i="33" s="1"/>
  <c r="D14" i="33"/>
  <c r="E14" i="33" s="1"/>
  <c r="I18" i="22"/>
  <c r="E18" i="22"/>
  <c r="I16" i="33" l="1"/>
  <c r="H16" i="33"/>
  <c r="L16" i="33" s="1"/>
  <c r="I7" i="32"/>
  <c r="H7" i="32"/>
  <c r="L7" i="32" s="1"/>
  <c r="M7" i="32" s="1"/>
  <c r="I12" i="33"/>
  <c r="H12" i="33"/>
  <c r="L12" i="33" s="1"/>
  <c r="M12" i="33" s="1"/>
  <c r="I17" i="33"/>
  <c r="H17" i="33"/>
  <c r="L17" i="33" s="1"/>
  <c r="I9" i="32"/>
  <c r="H9" i="32"/>
  <c r="L9" i="32" s="1"/>
  <c r="M9" i="32" s="1"/>
  <c r="I6" i="32"/>
  <c r="H6" i="32"/>
  <c r="L6" i="32" s="1"/>
  <c r="M6" i="32" s="1"/>
  <c r="I15" i="33"/>
  <c r="H15" i="33"/>
  <c r="L15" i="33" s="1"/>
  <c r="M15" i="33" s="1"/>
  <c r="I14" i="33"/>
  <c r="H14" i="33"/>
  <c r="L14" i="33" s="1"/>
  <c r="M14" i="33" s="1"/>
  <c r="I13" i="33"/>
  <c r="H13" i="33"/>
  <c r="L13" i="33" s="1"/>
  <c r="M13" i="33" s="1"/>
  <c r="I8" i="32"/>
  <c r="H8" i="32"/>
  <c r="L8" i="32" s="1"/>
  <c r="M8" i="32" s="1"/>
  <c r="I11" i="33"/>
  <c r="H11" i="33"/>
  <c r="L11" i="33" s="1"/>
  <c r="M11" i="33" s="1"/>
  <c r="D10" i="32"/>
  <c r="E10" i="32" s="1"/>
  <c r="M18" i="22"/>
  <c r="D5" i="23"/>
  <c r="E5" i="23" s="1"/>
  <c r="L18" i="22"/>
  <c r="I5" i="23" l="1"/>
  <c r="H5" i="23"/>
  <c r="L5" i="23" s="1"/>
  <c r="M5" i="23" s="1"/>
  <c r="I10" i="32"/>
  <c r="H10" i="32"/>
  <c r="L10" i="32" s="1"/>
  <c r="M10" i="32" s="1"/>
  <c r="D4" i="24"/>
  <c r="D18" i="23"/>
  <c r="D8" i="33"/>
  <c r="E8" i="33" s="1"/>
  <c r="D6" i="33"/>
  <c r="E6" i="33" s="1"/>
  <c r="D7" i="33"/>
  <c r="E7" i="33" s="1"/>
  <c r="D9" i="33"/>
  <c r="E9" i="33" s="1"/>
  <c r="I9" i="33" l="1"/>
  <c r="H9" i="33"/>
  <c r="L9" i="33" s="1"/>
  <c r="M9" i="33" s="1"/>
  <c r="I6" i="33"/>
  <c r="H6" i="33"/>
  <c r="L6" i="33" s="1"/>
  <c r="M6" i="33" s="1"/>
  <c r="I7" i="33"/>
  <c r="H7" i="33"/>
  <c r="L7" i="33" s="1"/>
  <c r="M7" i="33" s="1"/>
  <c r="I8" i="33"/>
  <c r="H8" i="33"/>
  <c r="L8" i="33" s="1"/>
  <c r="M8" i="33" s="1"/>
  <c r="H4" i="24"/>
  <c r="L4" i="24" s="1"/>
  <c r="I4" i="24"/>
  <c r="I18" i="23"/>
  <c r="E18" i="23"/>
  <c r="D10" i="33"/>
  <c r="E10" i="33" s="1"/>
  <c r="H18" i="23"/>
  <c r="I10" i="33" l="1"/>
  <c r="H10" i="33"/>
  <c r="L10" i="33" s="1"/>
  <c r="M10" i="33" s="1"/>
  <c r="M18" i="23"/>
  <c r="D5" i="24"/>
  <c r="E5" i="24" s="1"/>
  <c r="L18" i="23"/>
  <c r="I5" i="24" l="1"/>
  <c r="H5" i="24"/>
  <c r="L5" i="24" s="1"/>
  <c r="M5" i="24" s="1"/>
  <c r="D4" i="25"/>
  <c r="D18" i="24"/>
  <c r="I4" i="25" l="1"/>
  <c r="H4" i="25"/>
  <c r="L4" i="25" s="1"/>
  <c r="I18" i="24"/>
  <c r="E18" i="24"/>
  <c r="H18" i="24"/>
  <c r="M18" i="24" l="1"/>
  <c r="D5" i="25"/>
  <c r="E5" i="25" s="1"/>
  <c r="L18" i="24"/>
  <c r="I5" i="25" l="1"/>
  <c r="H5" i="25"/>
  <c r="L5" i="25" s="1"/>
  <c r="M5" i="25" s="1"/>
  <c r="D4" i="26"/>
  <c r="D18" i="25"/>
  <c r="H4" i="26" l="1"/>
  <c r="L4" i="26" s="1"/>
  <c r="I4" i="26"/>
  <c r="H18" i="25"/>
  <c r="I18" i="25"/>
  <c r="E18" i="25"/>
  <c r="M18" i="25" l="1"/>
  <c r="D5" i="26"/>
  <c r="E5" i="26" s="1"/>
  <c r="L18" i="25"/>
  <c r="I5" i="26" l="1"/>
  <c r="H5" i="26"/>
  <c r="L5" i="26" s="1"/>
  <c r="M5" i="26" s="1"/>
  <c r="D4" i="27"/>
  <c r="D18" i="26"/>
  <c r="H4" i="27" l="1"/>
  <c r="L4" i="27" s="1"/>
  <c r="I4" i="27"/>
  <c r="H18" i="26"/>
  <c r="I18" i="26"/>
  <c r="E18" i="26"/>
  <c r="M18" i="26" l="1"/>
  <c r="D5" i="27"/>
  <c r="E5" i="27" s="1"/>
  <c r="L18" i="26"/>
  <c r="I5" i="27" l="1"/>
  <c r="H5" i="27"/>
  <c r="L5" i="27" s="1"/>
  <c r="M5" i="27" s="1"/>
  <c r="D4" i="28"/>
  <c r="D18" i="27"/>
  <c r="I4" i="28" l="1"/>
  <c r="H4" i="28"/>
  <c r="L4" i="28" s="1"/>
  <c r="I18" i="27"/>
  <c r="E18" i="27"/>
  <c r="H18" i="27"/>
  <c r="M18" i="27" l="1"/>
  <c r="D5" i="28"/>
  <c r="E5" i="28" s="1"/>
  <c r="L18" i="27"/>
  <c r="I5" i="28" l="1"/>
  <c r="H5" i="28"/>
  <c r="L5" i="28" s="1"/>
  <c r="M5" i="28" s="1"/>
  <c r="D4" i="29"/>
  <c r="D18" i="28"/>
  <c r="I4" i="29" l="1"/>
  <c r="H4" i="29"/>
  <c r="L4" i="29" s="1"/>
  <c r="H18" i="28"/>
  <c r="I18" i="28"/>
  <c r="E18" i="28"/>
  <c r="M18" i="28" l="1"/>
  <c r="D5" i="29"/>
  <c r="E5" i="29" s="1"/>
  <c r="L18" i="28"/>
  <c r="I5" i="29" l="1"/>
  <c r="H5" i="29"/>
  <c r="L5" i="29" s="1"/>
  <c r="M5" i="29" s="1"/>
  <c r="D4" i="30"/>
  <c r="D18" i="29"/>
  <c r="H4" i="30" l="1"/>
  <c r="L4" i="30" s="1"/>
  <c r="I4" i="30"/>
  <c r="I18" i="29"/>
  <c r="E18" i="29"/>
  <c r="H18" i="29"/>
  <c r="M18" i="29" l="1"/>
  <c r="D5" i="30"/>
  <c r="E5" i="30" s="1"/>
  <c r="L18" i="29"/>
  <c r="I5" i="30" l="1"/>
  <c r="H5" i="30"/>
  <c r="L5" i="30" s="1"/>
  <c r="M5" i="30" s="1"/>
  <c r="D4" i="31"/>
  <c r="D18" i="30"/>
  <c r="I4" i="31" l="1"/>
  <c r="H4" i="31"/>
  <c r="L4" i="31" s="1"/>
  <c r="H18" i="30"/>
  <c r="I18" i="30"/>
  <c r="E18" i="30"/>
  <c r="M18" i="30" l="1"/>
  <c r="D5" i="31"/>
  <c r="E5" i="31" s="1"/>
  <c r="L18" i="30"/>
  <c r="I5" i="31" l="1"/>
  <c r="H5" i="31"/>
  <c r="L5" i="31" s="1"/>
  <c r="M5" i="31" s="1"/>
  <c r="D4" i="32"/>
  <c r="D18" i="31"/>
  <c r="H4" i="32" l="1"/>
  <c r="L4" i="32" s="1"/>
  <c r="I4" i="32"/>
  <c r="I18" i="31"/>
  <c r="E18" i="31"/>
  <c r="H18" i="31"/>
  <c r="M18" i="31" l="1"/>
  <c r="D5" i="32"/>
  <c r="E5" i="32" s="1"/>
  <c r="L18" i="31"/>
  <c r="I5" i="32" l="1"/>
  <c r="H5" i="32"/>
  <c r="L5" i="32" s="1"/>
  <c r="M5" i="32" s="1"/>
  <c r="D4" i="33"/>
  <c r="D18" i="32"/>
  <c r="I4" i="33" l="1"/>
  <c r="H4" i="33"/>
  <c r="L4" i="33" s="1"/>
  <c r="H18" i="32"/>
  <c r="I18" i="32"/>
  <c r="E18" i="32"/>
  <c r="M18" i="32" l="1"/>
  <c r="D5" i="33"/>
  <c r="E5" i="33" s="1"/>
  <c r="L18" i="32"/>
  <c r="I5" i="33" l="1"/>
  <c r="H5" i="33"/>
  <c r="L5" i="33" s="1"/>
  <c r="M5" i="33" s="1"/>
  <c r="D18" i="33"/>
  <c r="I18" i="33" l="1"/>
  <c r="E18" i="33"/>
  <c r="H18" i="33"/>
  <c r="M18" i="33" l="1"/>
  <c r="L18" i="33"/>
</calcChain>
</file>

<file path=xl/sharedStrings.xml><?xml version="1.0" encoding="utf-8"?>
<sst xmlns="http://schemas.openxmlformats.org/spreadsheetml/2006/main" count="1225" uniqueCount="51">
  <si>
    <t>Date</t>
  </si>
  <si>
    <t>Day</t>
  </si>
  <si>
    <t>Total Balance</t>
  </si>
  <si>
    <t>In Hand Balance</t>
  </si>
  <si>
    <t>Friday</t>
  </si>
  <si>
    <t>Saturday</t>
  </si>
  <si>
    <t>Sunday</t>
  </si>
  <si>
    <t>Monday</t>
  </si>
  <si>
    <t>Tuesday</t>
  </si>
  <si>
    <t>Wednesday</t>
  </si>
  <si>
    <t>Thursday</t>
  </si>
  <si>
    <t>Day Oppning Balance</t>
  </si>
  <si>
    <t xml:space="preserve">1st Lifting Balance </t>
  </si>
  <si>
    <t>2nd Lifting Balamce</t>
  </si>
  <si>
    <t>DO Transferred</t>
  </si>
  <si>
    <t>Do Name</t>
  </si>
  <si>
    <t>Do Line</t>
  </si>
  <si>
    <t>OFFICE</t>
  </si>
  <si>
    <t>TOTAL</t>
  </si>
  <si>
    <t>S.No</t>
  </si>
  <si>
    <t>1st ML Lifting</t>
  </si>
  <si>
    <t>2nd ML Lifting</t>
  </si>
  <si>
    <t>Opening Balance</t>
  </si>
  <si>
    <t>Cash Receiveable</t>
  </si>
  <si>
    <t>Today ML Issuance</t>
  </si>
  <si>
    <t>ML</t>
  </si>
  <si>
    <t>Payment Received</t>
  </si>
  <si>
    <t>CLOSING BALANCE</t>
  </si>
  <si>
    <t xml:space="preserve">Day Total </t>
  </si>
  <si>
    <t>Cash Received</t>
  </si>
  <si>
    <t>Amount</t>
  </si>
  <si>
    <t>ML Issue</t>
  </si>
  <si>
    <t>Total Day Commission</t>
  </si>
  <si>
    <t>HASSAN</t>
  </si>
  <si>
    <t>Month Total Upfront Commissions</t>
  </si>
  <si>
    <t>Commission 1 (2.6)</t>
  </si>
  <si>
    <t>Commission 2 (.96)</t>
  </si>
  <si>
    <t>RIZWAN</t>
  </si>
  <si>
    <t>ARSLAN</t>
  </si>
  <si>
    <t>MIRZA</t>
  </si>
  <si>
    <t xml:space="preserve">ADNAN </t>
  </si>
  <si>
    <t>MUBASHAR</t>
  </si>
  <si>
    <t>IRFAN</t>
  </si>
  <si>
    <t>NAVEED</t>
  </si>
  <si>
    <t>IRFAN MIRZA</t>
  </si>
  <si>
    <t>Commission 2 (1.16)</t>
  </si>
  <si>
    <t>Commission 1 (2.4)</t>
  </si>
  <si>
    <t>Commission 2 (1.196)</t>
  </si>
  <si>
    <t xml:space="preserve">ANNI </t>
  </si>
  <si>
    <t xml:space="preserve">HUSSAIN </t>
  </si>
  <si>
    <t>SARAM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</si>
</sst>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" fontId="2" fillId="3" borderId="28" xfId="0" applyNumberFormat="1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" fontId="2" fillId="3" borderId="18" xfId="0" applyNumberFormat="1" applyFont="1" applyFill="1" applyBorder="1" applyAlignment="1">
      <alignment horizontal="center"/>
    </xf>
    <xf numFmtId="1" fontId="0" fillId="2" borderId="0" xfId="0" applyNumberFormat="1" applyFill="1"/>
    <xf numFmtId="164" fontId="2" fillId="3" borderId="28" xfId="0" applyNumberFormat="1" applyFont="1" applyFill="1" applyBorder="1" applyAlignment="1">
      <alignment horizontal="center"/>
    </xf>
    <xf numFmtId="1" fontId="2" fillId="3" borderId="31" xfId="0" applyNumberFormat="1" applyFont="1" applyFill="1" applyBorder="1" applyAlignment="1">
      <alignment horizontal="center"/>
    </xf>
    <xf numFmtId="1" fontId="1" fillId="2" borderId="0" xfId="0" applyNumberFormat="1" applyFont="1" applyFill="1"/>
    <xf numFmtId="0" fontId="6" fillId="2" borderId="0" xfId="0" applyFont="1" applyFill="1"/>
    <xf numFmtId="164" fontId="2" fillId="3" borderId="3" xfId="0" applyNumberFormat="1" applyFont="1" applyFill="1" applyBorder="1"/>
    <xf numFmtId="1" fontId="0" fillId="4" borderId="24" xfId="0" applyNumberForma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0" fontId="0" fillId="4" borderId="7" xfId="0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1" fontId="0" fillId="4" borderId="12" xfId="0" applyNumberFormat="1" applyFill="1" applyBorder="1" applyAlignment="1">
      <alignment horizontal="center"/>
    </xf>
    <xf numFmtId="1" fontId="0" fillId="4" borderId="29" xfId="0" applyNumberForma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1" fontId="2" fillId="4" borderId="14" xfId="0" applyNumberFormat="1" applyFont="1" applyFill="1" applyBorder="1"/>
    <xf numFmtId="164" fontId="2" fillId="4" borderId="30" xfId="0" applyNumberFormat="1" applyFont="1" applyFill="1" applyBorder="1"/>
    <xf numFmtId="15" fontId="0" fillId="4" borderId="4" xfId="0" applyNumberForma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1" fontId="2" fillId="4" borderId="5" xfId="0" applyNumberFormat="1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0" fillId="4" borderId="26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1" fontId="4" fillId="4" borderId="34" xfId="0" applyNumberFormat="1" applyFont="1" applyFill="1" applyBorder="1" applyAlignment="1">
      <alignment horizontal="center" vertical="center"/>
    </xf>
    <xf numFmtId="1" fontId="4" fillId="4" borderId="35" xfId="0" applyNumberFormat="1" applyFont="1" applyFill="1" applyBorder="1" applyAlignment="1">
      <alignment horizontal="center" vertical="center"/>
    </xf>
    <xf numFmtId="1" fontId="2" fillId="5" borderId="14" xfId="0" applyNumberFormat="1" applyFont="1" applyFill="1" applyBorder="1" applyAlignment="1">
      <alignment horizontal="center"/>
    </xf>
    <xf numFmtId="164" fontId="2" fillId="3" borderId="43" xfId="0" applyNumberFormat="1" applyFont="1" applyFill="1" applyBorder="1" applyAlignment="1">
      <alignment horizontal="center"/>
    </xf>
    <xf numFmtId="1" fontId="2" fillId="5" borderId="32" xfId="0" applyNumberFormat="1" applyFont="1" applyFill="1" applyBorder="1" applyAlignment="1">
      <alignment horizontal="center"/>
    </xf>
    <xf numFmtId="1" fontId="4" fillId="4" borderId="45" xfId="0" applyNumberFormat="1" applyFon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/>
    </xf>
    <xf numFmtId="164" fontId="0" fillId="3" borderId="29" xfId="0" applyNumberFormat="1" applyFill="1" applyBorder="1" applyAlignment="1">
      <alignment horizontal="center"/>
    </xf>
    <xf numFmtId="1" fontId="4" fillId="4" borderId="33" xfId="0" applyNumberFormat="1" applyFon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1" fontId="2" fillId="4" borderId="7" xfId="0" applyNumberFormat="1" applyFont="1" applyFill="1" applyBorder="1"/>
    <xf numFmtId="164" fontId="2" fillId="4" borderId="7" xfId="0" applyNumberFormat="1" applyFont="1" applyFill="1" applyBorder="1"/>
    <xf numFmtId="164" fontId="2" fillId="3" borderId="7" xfId="0" applyNumberFormat="1" applyFont="1" applyFill="1" applyBorder="1"/>
    <xf numFmtId="0" fontId="4" fillId="4" borderId="19" xfId="0" applyFont="1" applyFill="1" applyBorder="1" applyAlignment="1">
      <alignment horizontal="center"/>
    </xf>
    <xf numFmtId="0" fontId="0" fillId="2" borderId="0" xfId="0" applyFont="1" applyFill="1"/>
    <xf numFmtId="1" fontId="6" fillId="2" borderId="0" xfId="0" applyNumberFormat="1" applyFont="1" applyFill="1"/>
    <xf numFmtId="0" fontId="6" fillId="2" borderId="0" xfId="0" applyFont="1" applyFill="1" applyAlignment="1">
      <alignment horizontal="center"/>
    </xf>
    <xf numFmtId="0" fontId="1" fillId="2" borderId="0" xfId="0" applyFont="1" applyFill="1"/>
    <xf numFmtId="0" fontId="6" fillId="2" borderId="0" xfId="0" applyFont="1" applyFill="1" applyBorder="1" applyAlignment="1">
      <alignment horizontal="center"/>
    </xf>
    <xf numFmtId="1" fontId="1" fillId="2" borderId="0" xfId="0" applyNumberFormat="1" applyFont="1" applyFill="1" applyBorder="1"/>
    <xf numFmtId="0" fontId="1" fillId="2" borderId="0" xfId="0" applyFont="1" applyFill="1" applyBorder="1"/>
    <xf numFmtId="0" fontId="0" fillId="5" borderId="12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2" fillId="3" borderId="41" xfId="0" applyFont="1" applyFill="1" applyBorder="1" applyAlignment="1">
      <alignment horizontal="left"/>
    </xf>
    <xf numFmtId="0" fontId="2" fillId="3" borderId="42" xfId="0" applyFont="1" applyFill="1" applyBorder="1" applyAlignment="1">
      <alignment horizontal="left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9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0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1" fontId="2" fillId="3" borderId="20" xfId="0" applyNumberFormat="1" applyFont="1" applyFill="1" applyBorder="1" applyAlignment="1">
      <alignment horizontal="center"/>
    </xf>
    <xf numFmtId="164" fontId="2" fillId="3" borderId="20" xfId="0" applyNumberFormat="1" applyFont="1" applyFill="1" applyBorder="1" applyAlignment="1">
      <alignment horizontal="center"/>
    </xf>
    <xf numFmtId="164" fontId="2" fillId="3" borderId="23" xfId="0" applyNumberFormat="1" applyFont="1" applyFill="1" applyBorder="1" applyAlignment="1">
      <alignment horizontal="center"/>
    </xf>
    <xf numFmtId="15" fontId="4" fillId="4" borderId="10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164" fontId="2" fillId="3" borderId="15" xfId="0" applyNumberFormat="1" applyFont="1" applyFill="1" applyBorder="1" applyAlignment="1">
      <alignment horizontal="center"/>
    </xf>
    <xf numFmtId="164" fontId="2" fillId="3" borderId="16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47" xfId="0" applyFont="1" applyFill="1" applyBorder="1" applyAlignment="1">
      <alignment horizontal="center"/>
    </xf>
    <xf numFmtId="1" fontId="2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4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FF00"/>
      <color rgb="FFF3537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L40"/>
  <sheetViews>
    <sheetView workbookViewId="0">
      <selection activeCell="L12" sqref="L12"/>
    </sheetView>
  </sheetViews>
  <sheetFormatPr defaultColWidth="8.7109375" defaultRowHeight="15" x14ac:dyDescent="0.25"/>
  <cols>
    <col min="1" max="1" width="9.85546875" style="4" bestFit="1" customWidth="1"/>
    <col min="2" max="2" width="10.5703125" style="4" bestFit="1" customWidth="1"/>
    <col min="3" max="3" width="18.5703125" style="4" bestFit="1" customWidth="1"/>
    <col min="4" max="4" width="16.42578125" style="4" bestFit="1" customWidth="1"/>
    <col min="5" max="5" width="17.140625" style="4" bestFit="1" customWidth="1"/>
    <col min="6" max="6" width="12" style="5" bestFit="1" customWidth="1"/>
    <col min="7" max="7" width="13.85546875" style="5" bestFit="1" customWidth="1"/>
    <col min="8" max="8" width="14.42578125" style="6" bestFit="1" customWidth="1"/>
    <col min="9" max="10" width="8.7109375" style="4"/>
    <col min="11" max="11" width="10.85546875" style="4" customWidth="1"/>
    <col min="12" max="12" width="15.140625" style="4" customWidth="1"/>
    <col min="13" max="16384" width="8.7109375" style="4"/>
  </cols>
  <sheetData>
    <row r="1" spans="1:12" s="3" customFormat="1" ht="21.95" customHeight="1" thickBot="1" x14ac:dyDescent="0.3">
      <c r="A1" s="45" t="s">
        <v>0</v>
      </c>
      <c r="B1" s="46" t="s">
        <v>1</v>
      </c>
      <c r="C1" s="46" t="s">
        <v>11</v>
      </c>
      <c r="D1" s="46" t="s">
        <v>12</v>
      </c>
      <c r="E1" s="46" t="s">
        <v>13</v>
      </c>
      <c r="F1" s="46" t="s">
        <v>2</v>
      </c>
      <c r="G1" s="46" t="s">
        <v>14</v>
      </c>
      <c r="H1" s="47" t="s">
        <v>3</v>
      </c>
    </row>
    <row r="2" spans="1:12" x14ac:dyDescent="0.25">
      <c r="A2" s="40">
        <v>46204</v>
      </c>
      <c r="B2" s="41" t="s">
        <v>9</v>
      </c>
      <c r="C2" s="42">
        <f>'1'!A23</f>
        <v>815579</v>
      </c>
      <c r="D2" s="41">
        <f>'1'!C23</f>
        <v>700000</v>
      </c>
      <c r="E2" s="41">
        <f>'1'!D23</f>
        <v>630000</v>
      </c>
      <c r="F2" s="42">
        <f>SUM(C2:E2)</f>
        <v>2145579</v>
      </c>
      <c r="G2" s="43">
        <f>'1'!G18</f>
        <v>1225896.96</v>
      </c>
      <c r="H2" s="7">
        <f>F2-G2</f>
        <v>919682.04</v>
      </c>
      <c r="J2" s="86" t="s">
        <v>34</v>
      </c>
      <c r="K2" s="87"/>
      <c r="L2" s="88"/>
    </row>
    <row r="3" spans="1:12" ht="15.75" thickBot="1" x14ac:dyDescent="0.3">
      <c r="A3" s="40">
        <v>46205</v>
      </c>
      <c r="B3" s="41" t="s">
        <v>10</v>
      </c>
      <c r="C3" s="44">
        <f>H2</f>
        <v>919682.04</v>
      </c>
      <c r="D3" s="41">
        <f>'2'!C23</f>
        <v>0</v>
      </c>
      <c r="E3" s="41">
        <f>'2'!D23</f>
        <v>0</v>
      </c>
      <c r="F3" s="42">
        <f t="shared" ref="F3:F32" si="0">SUM(C3:E3)</f>
        <v>919682.04</v>
      </c>
      <c r="G3" s="43">
        <f>'2'!G18</f>
        <v>0</v>
      </c>
      <c r="H3" s="7">
        <f t="shared" ref="H3:H32" si="1">F3-G3</f>
        <v>919682.04</v>
      </c>
      <c r="J3" s="89"/>
      <c r="K3" s="90"/>
      <c r="L3" s="91"/>
    </row>
    <row r="4" spans="1:12" x14ac:dyDescent="0.25">
      <c r="A4" s="40">
        <v>46206</v>
      </c>
      <c r="B4" s="41" t="s">
        <v>4</v>
      </c>
      <c r="C4" s="44">
        <f t="shared" ref="C4:C32" si="2">H3</f>
        <v>919682.04</v>
      </c>
      <c r="D4" s="41">
        <f>'3'!C23</f>
        <v>0</v>
      </c>
      <c r="E4" s="41">
        <f>'3'!D23</f>
        <v>0</v>
      </c>
      <c r="F4" s="42">
        <f t="shared" si="0"/>
        <v>919682.04</v>
      </c>
      <c r="G4" s="43">
        <f>'3'!G18</f>
        <v>0</v>
      </c>
      <c r="H4" s="7">
        <f t="shared" si="1"/>
        <v>919682.04</v>
      </c>
      <c r="J4" s="80" t="s">
        <v>46</v>
      </c>
      <c r="K4" s="81"/>
      <c r="L4" s="55">
        <f>'1'!M25+'2'!M25+'3'!M25+'4'!M25+'5'!M25+'6'!M25+'7'!M25+'8'!M25+'9'!M25+'10'!M25+'11'!M25+'12'!M25+'13'!M25+'14'!M25+'15'!M25+'16'!M25+'17'!M25+'18'!M25+'19'!M25+'20'!M25+'21'!M25+'22'!M25+'23'!M25+'24'!M25+'25'!M25+'26'!M25+'27'!M25+'28'!M25+'29'!M25+'30'!M25+'31'!M25</f>
        <v>660.19103999994695</v>
      </c>
    </row>
    <row r="5" spans="1:12" ht="15.75" thickBot="1" x14ac:dyDescent="0.3">
      <c r="A5" s="40">
        <v>46207</v>
      </c>
      <c r="B5" s="41" t="s">
        <v>5</v>
      </c>
      <c r="C5" s="44">
        <f t="shared" si="2"/>
        <v>919682.04</v>
      </c>
      <c r="D5" s="41">
        <f>'4'!C23</f>
        <v>0</v>
      </c>
      <c r="E5" s="41">
        <f>'4'!D23</f>
        <v>0</v>
      </c>
      <c r="F5" s="42">
        <f t="shared" si="0"/>
        <v>919682.04</v>
      </c>
      <c r="G5" s="43">
        <f>'4'!G18</f>
        <v>0</v>
      </c>
      <c r="H5" s="7">
        <f t="shared" si="1"/>
        <v>919682.04</v>
      </c>
      <c r="J5" s="82" t="s">
        <v>45</v>
      </c>
      <c r="K5" s="83"/>
      <c r="L5" s="57">
        <f>'1'!M26+'2'!M26+'3'!M26+'4'!M26+'5'!M26+'6'!M26+'7'!M26+'8'!M26+'9'!M26+'10'!M26+'11'!M26+'12'!M26+'13'!M26+'14'!M26+'15'!M26+'16'!M26+'17'!M26+'18'!M26+'19'!M26+'20'!M26+'21'!M26+'22'!M26+'23'!M26+'24'!M26+'25'!M26+'26'!M26+'27'!M26+'28'!M26+'29'!M26+'30'!M26+'31'!M26</f>
        <v>13295.513999999999</v>
      </c>
    </row>
    <row r="6" spans="1:12" ht="15.75" thickBot="1" x14ac:dyDescent="0.3">
      <c r="A6" s="40">
        <v>46208</v>
      </c>
      <c r="B6" s="41" t="s">
        <v>6</v>
      </c>
      <c r="C6" s="44">
        <f t="shared" si="2"/>
        <v>919682.04</v>
      </c>
      <c r="D6" s="41">
        <f>'5'!C23</f>
        <v>0</v>
      </c>
      <c r="E6" s="41">
        <f>'5'!D23</f>
        <v>0</v>
      </c>
      <c r="F6" s="42">
        <f t="shared" si="0"/>
        <v>919682.04</v>
      </c>
      <c r="G6" s="43">
        <f>'5'!G18</f>
        <v>0</v>
      </c>
      <c r="H6" s="7">
        <f t="shared" si="1"/>
        <v>919682.04</v>
      </c>
      <c r="J6" s="84" t="s">
        <v>32</v>
      </c>
      <c r="K6" s="85"/>
      <c r="L6" s="56">
        <f>L5+L4</f>
        <v>13955.705039999946</v>
      </c>
    </row>
    <row r="7" spans="1:12" x14ac:dyDescent="0.25">
      <c r="A7" s="40">
        <v>46209</v>
      </c>
      <c r="B7" s="41" t="s">
        <v>7</v>
      </c>
      <c r="C7" s="44">
        <f t="shared" si="2"/>
        <v>919682.04</v>
      </c>
      <c r="D7" s="41">
        <f>'6'!C23</f>
        <v>0</v>
      </c>
      <c r="E7" s="41">
        <f>'6'!D23</f>
        <v>0</v>
      </c>
      <c r="F7" s="42">
        <f t="shared" si="0"/>
        <v>919682.04</v>
      </c>
      <c r="G7" s="43">
        <f>'6'!G18</f>
        <v>0</v>
      </c>
      <c r="H7" s="7">
        <f t="shared" si="1"/>
        <v>919682.04</v>
      </c>
    </row>
    <row r="8" spans="1:12" x14ac:dyDescent="0.25">
      <c r="A8" s="40">
        <v>46210</v>
      </c>
      <c r="B8" s="41" t="s">
        <v>8</v>
      </c>
      <c r="C8" s="44">
        <f t="shared" si="2"/>
        <v>919682.04</v>
      </c>
      <c r="D8" s="41">
        <f>'7'!C23</f>
        <v>0</v>
      </c>
      <c r="E8" s="41">
        <f>'7'!D23</f>
        <v>0</v>
      </c>
      <c r="F8" s="42">
        <f t="shared" si="0"/>
        <v>919682.04</v>
      </c>
      <c r="G8" s="43">
        <f>'7'!G18</f>
        <v>0</v>
      </c>
      <c r="H8" s="7">
        <f t="shared" si="1"/>
        <v>919682.04</v>
      </c>
    </row>
    <row r="9" spans="1:12" x14ac:dyDescent="0.25">
      <c r="A9" s="40">
        <v>46211</v>
      </c>
      <c r="B9" s="41" t="s">
        <v>9</v>
      </c>
      <c r="C9" s="44">
        <f t="shared" si="2"/>
        <v>919682.04</v>
      </c>
      <c r="D9" s="41">
        <f>'8'!C23</f>
        <v>0</v>
      </c>
      <c r="E9" s="41">
        <f>'8'!D23</f>
        <v>0</v>
      </c>
      <c r="F9" s="42">
        <f t="shared" si="0"/>
        <v>919682.04</v>
      </c>
      <c r="G9" s="43">
        <f>'8'!G18</f>
        <v>0</v>
      </c>
      <c r="H9" s="7">
        <f t="shared" si="1"/>
        <v>919682.04</v>
      </c>
    </row>
    <row r="10" spans="1:12" x14ac:dyDescent="0.25">
      <c r="A10" s="40">
        <v>46212</v>
      </c>
      <c r="B10" s="41" t="s">
        <v>10</v>
      </c>
      <c r="C10" s="44">
        <f t="shared" si="2"/>
        <v>919682.04</v>
      </c>
      <c r="D10" s="41">
        <f>'9'!C23</f>
        <v>0</v>
      </c>
      <c r="E10" s="41">
        <f>'8'!D24</f>
        <v>0</v>
      </c>
      <c r="F10" s="42">
        <f t="shared" si="0"/>
        <v>919682.04</v>
      </c>
      <c r="G10" s="43">
        <f>'9'!G18</f>
        <v>0</v>
      </c>
      <c r="H10" s="7">
        <f t="shared" si="1"/>
        <v>919682.04</v>
      </c>
    </row>
    <row r="11" spans="1:12" x14ac:dyDescent="0.25">
      <c r="A11" s="40">
        <v>46213</v>
      </c>
      <c r="B11" s="41" t="s">
        <v>4</v>
      </c>
      <c r="C11" s="44">
        <f t="shared" si="2"/>
        <v>919682.04</v>
      </c>
      <c r="D11" s="41">
        <f>'10'!C23</f>
        <v>0</v>
      </c>
      <c r="E11" s="41">
        <f>'10'!D23</f>
        <v>0</v>
      </c>
      <c r="F11" s="42">
        <f t="shared" si="0"/>
        <v>919682.04</v>
      </c>
      <c r="G11" s="43">
        <f>'10'!G18</f>
        <v>0</v>
      </c>
      <c r="H11" s="7">
        <f t="shared" si="1"/>
        <v>919682.04</v>
      </c>
    </row>
    <row r="12" spans="1:12" x14ac:dyDescent="0.25">
      <c r="A12" s="40">
        <v>46214</v>
      </c>
      <c r="B12" s="41" t="s">
        <v>5</v>
      </c>
      <c r="C12" s="44">
        <f t="shared" si="2"/>
        <v>919682.04</v>
      </c>
      <c r="D12" s="41">
        <f>'11'!C23</f>
        <v>0</v>
      </c>
      <c r="E12" s="41">
        <f>'11'!D23</f>
        <v>0</v>
      </c>
      <c r="F12" s="42">
        <f t="shared" si="0"/>
        <v>919682.04</v>
      </c>
      <c r="G12" s="43">
        <f>'11'!G18</f>
        <v>0</v>
      </c>
      <c r="H12" s="7">
        <f t="shared" si="1"/>
        <v>919682.04</v>
      </c>
    </row>
    <row r="13" spans="1:12" x14ac:dyDescent="0.25">
      <c r="A13" s="40">
        <v>46215</v>
      </c>
      <c r="B13" s="41" t="s">
        <v>6</v>
      </c>
      <c r="C13" s="44">
        <f t="shared" si="2"/>
        <v>919682.04</v>
      </c>
      <c r="D13" s="41">
        <f>'12'!C23</f>
        <v>0</v>
      </c>
      <c r="E13" s="41">
        <f>'12'!D23</f>
        <v>0</v>
      </c>
      <c r="F13" s="42">
        <f t="shared" si="0"/>
        <v>919682.04</v>
      </c>
      <c r="G13" s="43">
        <f>'12'!G18</f>
        <v>0</v>
      </c>
      <c r="H13" s="7">
        <f t="shared" si="1"/>
        <v>919682.04</v>
      </c>
    </row>
    <row r="14" spans="1:12" x14ac:dyDescent="0.25">
      <c r="A14" s="40">
        <v>46216</v>
      </c>
      <c r="B14" s="41" t="s">
        <v>7</v>
      </c>
      <c r="C14" s="44">
        <f t="shared" si="2"/>
        <v>919682.04</v>
      </c>
      <c r="D14" s="41">
        <f>'13'!C23</f>
        <v>0</v>
      </c>
      <c r="E14" s="41">
        <f>'13'!D23</f>
        <v>0</v>
      </c>
      <c r="F14" s="42">
        <f t="shared" si="0"/>
        <v>919682.04</v>
      </c>
      <c r="G14" s="43">
        <f>'13'!G18</f>
        <v>0</v>
      </c>
      <c r="H14" s="7">
        <f t="shared" si="1"/>
        <v>919682.04</v>
      </c>
    </row>
    <row r="15" spans="1:12" x14ac:dyDescent="0.25">
      <c r="A15" s="40">
        <v>46217</v>
      </c>
      <c r="B15" s="41" t="s">
        <v>8</v>
      </c>
      <c r="C15" s="44">
        <f t="shared" si="2"/>
        <v>919682.04</v>
      </c>
      <c r="D15" s="41">
        <f>'14'!C23</f>
        <v>0</v>
      </c>
      <c r="E15" s="41">
        <f>'14'!D23</f>
        <v>0</v>
      </c>
      <c r="F15" s="42">
        <f t="shared" si="0"/>
        <v>919682.04</v>
      </c>
      <c r="G15" s="43">
        <f>'14'!G18</f>
        <v>0</v>
      </c>
      <c r="H15" s="7">
        <f t="shared" si="1"/>
        <v>919682.04</v>
      </c>
    </row>
    <row r="16" spans="1:12" x14ac:dyDescent="0.25">
      <c r="A16" s="40">
        <v>46218</v>
      </c>
      <c r="B16" s="41" t="s">
        <v>9</v>
      </c>
      <c r="C16" s="44">
        <f t="shared" si="2"/>
        <v>919682.04</v>
      </c>
      <c r="D16" s="41">
        <f>'15'!C23</f>
        <v>0</v>
      </c>
      <c r="E16" s="41">
        <f>'15'!D23</f>
        <v>0</v>
      </c>
      <c r="F16" s="42">
        <f t="shared" si="0"/>
        <v>919682.04</v>
      </c>
      <c r="G16" s="43">
        <f>'15'!G18</f>
        <v>0</v>
      </c>
      <c r="H16" s="7">
        <f t="shared" si="1"/>
        <v>919682.04</v>
      </c>
    </row>
    <row r="17" spans="1:8" x14ac:dyDescent="0.25">
      <c r="A17" s="40">
        <v>46219</v>
      </c>
      <c r="B17" s="41" t="s">
        <v>10</v>
      </c>
      <c r="C17" s="44">
        <f t="shared" si="2"/>
        <v>919682.04</v>
      </c>
      <c r="D17" s="41">
        <f>'16'!C23</f>
        <v>0</v>
      </c>
      <c r="E17" s="41">
        <f>'16'!D23</f>
        <v>0</v>
      </c>
      <c r="F17" s="42">
        <f t="shared" si="0"/>
        <v>919682.04</v>
      </c>
      <c r="G17" s="43">
        <f>'16'!G18</f>
        <v>0</v>
      </c>
      <c r="H17" s="7">
        <f t="shared" si="1"/>
        <v>919682.04</v>
      </c>
    </row>
    <row r="18" spans="1:8" x14ac:dyDescent="0.25">
      <c r="A18" s="40">
        <v>46220</v>
      </c>
      <c r="B18" s="41" t="s">
        <v>4</v>
      </c>
      <c r="C18" s="44">
        <f t="shared" si="2"/>
        <v>919682.04</v>
      </c>
      <c r="D18" s="41">
        <f>'17'!C23</f>
        <v>0</v>
      </c>
      <c r="E18" s="41">
        <f>'17'!D23</f>
        <v>0</v>
      </c>
      <c r="F18" s="42">
        <f t="shared" si="0"/>
        <v>919682.04</v>
      </c>
      <c r="G18" s="43">
        <f>'17'!G18</f>
        <v>0</v>
      </c>
      <c r="H18" s="7">
        <f t="shared" si="1"/>
        <v>919682.04</v>
      </c>
    </row>
    <row r="19" spans="1:8" x14ac:dyDescent="0.25">
      <c r="A19" s="40">
        <v>46221</v>
      </c>
      <c r="B19" s="41" t="s">
        <v>5</v>
      </c>
      <c r="C19" s="44">
        <f t="shared" si="2"/>
        <v>919682.04</v>
      </c>
      <c r="D19" s="41">
        <f>'18'!C23</f>
        <v>0</v>
      </c>
      <c r="E19" s="41">
        <f>'18'!D23</f>
        <v>0</v>
      </c>
      <c r="F19" s="42">
        <f t="shared" si="0"/>
        <v>919682.04</v>
      </c>
      <c r="G19" s="43">
        <f>'18'!G18</f>
        <v>0</v>
      </c>
      <c r="H19" s="7">
        <f t="shared" si="1"/>
        <v>919682.04</v>
      </c>
    </row>
    <row r="20" spans="1:8" x14ac:dyDescent="0.25">
      <c r="A20" s="40">
        <v>46222</v>
      </c>
      <c r="B20" s="41" t="s">
        <v>6</v>
      </c>
      <c r="C20" s="44">
        <f t="shared" si="2"/>
        <v>919682.04</v>
      </c>
      <c r="D20" s="41">
        <f>'19'!C23</f>
        <v>0</v>
      </c>
      <c r="E20" s="41">
        <f>'19'!D23</f>
        <v>0</v>
      </c>
      <c r="F20" s="42">
        <f t="shared" si="0"/>
        <v>919682.04</v>
      </c>
      <c r="G20" s="43">
        <f>'19'!G18</f>
        <v>0</v>
      </c>
      <c r="H20" s="7">
        <f t="shared" si="1"/>
        <v>919682.04</v>
      </c>
    </row>
    <row r="21" spans="1:8" x14ac:dyDescent="0.25">
      <c r="A21" s="40">
        <v>46223</v>
      </c>
      <c r="B21" s="41" t="s">
        <v>7</v>
      </c>
      <c r="C21" s="44">
        <f t="shared" si="2"/>
        <v>919682.04</v>
      </c>
      <c r="D21" s="41">
        <f>'20'!C23</f>
        <v>0</v>
      </c>
      <c r="E21" s="41">
        <f>'20'!D23</f>
        <v>0</v>
      </c>
      <c r="F21" s="42">
        <f t="shared" si="0"/>
        <v>919682.04</v>
      </c>
      <c r="G21" s="43">
        <f>'20'!G18</f>
        <v>0</v>
      </c>
      <c r="H21" s="7">
        <f t="shared" si="1"/>
        <v>919682.04</v>
      </c>
    </row>
    <row r="22" spans="1:8" x14ac:dyDescent="0.25">
      <c r="A22" s="40">
        <v>46224</v>
      </c>
      <c r="B22" s="41" t="s">
        <v>8</v>
      </c>
      <c r="C22" s="44">
        <f t="shared" si="2"/>
        <v>919682.04</v>
      </c>
      <c r="D22" s="41">
        <f>'21'!C23</f>
        <v>0</v>
      </c>
      <c r="E22" s="41">
        <f>'21'!D23</f>
        <v>0</v>
      </c>
      <c r="F22" s="42">
        <f t="shared" si="0"/>
        <v>919682.04</v>
      </c>
      <c r="G22" s="43">
        <f>'21'!G18</f>
        <v>0</v>
      </c>
      <c r="H22" s="7">
        <f t="shared" si="1"/>
        <v>919682.04</v>
      </c>
    </row>
    <row r="23" spans="1:8" x14ac:dyDescent="0.25">
      <c r="A23" s="40">
        <v>46225</v>
      </c>
      <c r="B23" s="41" t="s">
        <v>9</v>
      </c>
      <c r="C23" s="44">
        <f t="shared" si="2"/>
        <v>919682.04</v>
      </c>
      <c r="D23" s="41">
        <f>'22'!C23</f>
        <v>0</v>
      </c>
      <c r="E23" s="41">
        <f>'22'!D23</f>
        <v>0</v>
      </c>
      <c r="F23" s="42">
        <f t="shared" si="0"/>
        <v>919682.04</v>
      </c>
      <c r="G23" s="43">
        <f>'22'!G18</f>
        <v>0</v>
      </c>
      <c r="H23" s="7">
        <f t="shared" si="1"/>
        <v>919682.04</v>
      </c>
    </row>
    <row r="24" spans="1:8" x14ac:dyDescent="0.25">
      <c r="A24" s="40">
        <v>46226</v>
      </c>
      <c r="B24" s="41" t="s">
        <v>10</v>
      </c>
      <c r="C24" s="44">
        <f t="shared" si="2"/>
        <v>919682.04</v>
      </c>
      <c r="D24" s="41">
        <f>'23'!C23</f>
        <v>0</v>
      </c>
      <c r="E24" s="41">
        <f>'23'!D23</f>
        <v>0</v>
      </c>
      <c r="F24" s="42">
        <f t="shared" si="0"/>
        <v>919682.04</v>
      </c>
      <c r="G24" s="43">
        <f>'23'!G18</f>
        <v>0</v>
      </c>
      <c r="H24" s="7">
        <f t="shared" si="1"/>
        <v>919682.04</v>
      </c>
    </row>
    <row r="25" spans="1:8" x14ac:dyDescent="0.25">
      <c r="A25" s="40">
        <v>46227</v>
      </c>
      <c r="B25" s="41" t="s">
        <v>4</v>
      </c>
      <c r="C25" s="44">
        <f t="shared" si="2"/>
        <v>919682.04</v>
      </c>
      <c r="D25" s="41">
        <f>'24'!C23</f>
        <v>0</v>
      </c>
      <c r="E25" s="41">
        <f>'24'!D23</f>
        <v>0</v>
      </c>
      <c r="F25" s="42">
        <f t="shared" si="0"/>
        <v>919682.04</v>
      </c>
      <c r="G25" s="43">
        <f>'24'!G18</f>
        <v>0</v>
      </c>
      <c r="H25" s="7">
        <f t="shared" si="1"/>
        <v>919682.04</v>
      </c>
    </row>
    <row r="26" spans="1:8" x14ac:dyDescent="0.25">
      <c r="A26" s="40">
        <v>46228</v>
      </c>
      <c r="B26" s="41" t="s">
        <v>5</v>
      </c>
      <c r="C26" s="44">
        <f t="shared" si="2"/>
        <v>919682.04</v>
      </c>
      <c r="D26" s="41">
        <f>'25'!C23</f>
        <v>0</v>
      </c>
      <c r="E26" s="41">
        <f>'25'!D23</f>
        <v>0</v>
      </c>
      <c r="F26" s="42">
        <f t="shared" si="0"/>
        <v>919682.04</v>
      </c>
      <c r="G26" s="43">
        <f>'25'!G18</f>
        <v>0</v>
      </c>
      <c r="H26" s="7">
        <f t="shared" si="1"/>
        <v>919682.04</v>
      </c>
    </row>
    <row r="27" spans="1:8" x14ac:dyDescent="0.25">
      <c r="A27" s="40">
        <v>46229</v>
      </c>
      <c r="B27" s="41" t="s">
        <v>6</v>
      </c>
      <c r="C27" s="44">
        <f t="shared" si="2"/>
        <v>919682.04</v>
      </c>
      <c r="D27" s="41">
        <f>'26'!C23</f>
        <v>0</v>
      </c>
      <c r="E27" s="41">
        <f>'26'!D23</f>
        <v>0</v>
      </c>
      <c r="F27" s="42">
        <f t="shared" si="0"/>
        <v>919682.04</v>
      </c>
      <c r="G27" s="43">
        <f>'26'!G18</f>
        <v>0</v>
      </c>
      <c r="H27" s="7">
        <f t="shared" si="1"/>
        <v>919682.04</v>
      </c>
    </row>
    <row r="28" spans="1:8" x14ac:dyDescent="0.25">
      <c r="A28" s="40">
        <v>46230</v>
      </c>
      <c r="B28" s="41" t="s">
        <v>7</v>
      </c>
      <c r="C28" s="44">
        <f t="shared" si="2"/>
        <v>919682.04</v>
      </c>
      <c r="D28" s="41">
        <f>'27'!C23</f>
        <v>0</v>
      </c>
      <c r="E28" s="41">
        <f>'27'!D23</f>
        <v>0</v>
      </c>
      <c r="F28" s="42">
        <f t="shared" si="0"/>
        <v>919682.04</v>
      </c>
      <c r="G28" s="43">
        <f>'27'!G18</f>
        <v>0</v>
      </c>
      <c r="H28" s="7">
        <f t="shared" si="1"/>
        <v>919682.04</v>
      </c>
    </row>
    <row r="29" spans="1:8" x14ac:dyDescent="0.25">
      <c r="A29" s="40">
        <v>46231</v>
      </c>
      <c r="B29" s="41" t="s">
        <v>8</v>
      </c>
      <c r="C29" s="44">
        <f t="shared" si="2"/>
        <v>919682.04</v>
      </c>
      <c r="D29" s="41">
        <f>'28'!C23</f>
        <v>0</v>
      </c>
      <c r="E29" s="41">
        <f>'28'!D23</f>
        <v>0</v>
      </c>
      <c r="F29" s="42">
        <f t="shared" si="0"/>
        <v>919682.04</v>
      </c>
      <c r="G29" s="43">
        <f>'28'!G18</f>
        <v>0</v>
      </c>
      <c r="H29" s="7">
        <f t="shared" si="1"/>
        <v>919682.04</v>
      </c>
    </row>
    <row r="30" spans="1:8" x14ac:dyDescent="0.25">
      <c r="A30" s="40">
        <v>46232</v>
      </c>
      <c r="B30" s="41" t="s">
        <v>9</v>
      </c>
      <c r="C30" s="44">
        <f t="shared" si="2"/>
        <v>919682.04</v>
      </c>
      <c r="D30" s="41">
        <f>'29'!C23</f>
        <v>0</v>
      </c>
      <c r="E30" s="41">
        <f>'29'!D23</f>
        <v>0</v>
      </c>
      <c r="F30" s="42">
        <f t="shared" si="0"/>
        <v>919682.04</v>
      </c>
      <c r="G30" s="43">
        <f>'29'!G18</f>
        <v>0</v>
      </c>
      <c r="H30" s="7">
        <f t="shared" si="1"/>
        <v>919682.04</v>
      </c>
    </row>
    <row r="31" spans="1:8" x14ac:dyDescent="0.25">
      <c r="A31" s="40">
        <v>46233</v>
      </c>
      <c r="B31" s="41" t="s">
        <v>10</v>
      </c>
      <c r="C31" s="44">
        <f t="shared" si="2"/>
        <v>919682.04</v>
      </c>
      <c r="D31" s="41">
        <f>'30'!C23</f>
        <v>0</v>
      </c>
      <c r="E31" s="41">
        <f>'30'!D23</f>
        <v>0</v>
      </c>
      <c r="F31" s="42">
        <f t="shared" si="0"/>
        <v>919682.04</v>
      </c>
      <c r="G31" s="43">
        <f>'30'!G18</f>
        <v>0</v>
      </c>
      <c r="H31" s="7">
        <f t="shared" si="1"/>
        <v>919682.04</v>
      </c>
    </row>
    <row r="32" spans="1:8" x14ac:dyDescent="0.25">
      <c r="A32" s="40">
        <v>46234</v>
      </c>
      <c r="B32" s="41" t="s">
        <v>4</v>
      </c>
      <c r="C32" s="44">
        <f t="shared" si="2"/>
        <v>919682.04</v>
      </c>
      <c r="D32" s="41">
        <f>'31'!C23</f>
        <v>0</v>
      </c>
      <c r="E32" s="41">
        <f>'31'!D23</f>
        <v>0</v>
      </c>
      <c r="F32" s="42">
        <f t="shared" si="0"/>
        <v>919682.04</v>
      </c>
      <c r="G32" s="43">
        <f>'31'!G18</f>
        <v>0</v>
      </c>
      <c r="H32" s="7">
        <f t="shared" si="1"/>
        <v>919682.04</v>
      </c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</sheetData>
  <mergeCells count="4">
    <mergeCell ref="J4:K4"/>
    <mergeCell ref="J5:K5"/>
    <mergeCell ref="J6:K6"/>
    <mergeCell ref="J2:L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selection activeCell="Q21" sqref="Q21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12"/>
      <c r="E4" s="17">
        <f>D4*2.4/100+D4</f>
        <v>0</v>
      </c>
      <c r="F4" s="67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12"/>
      <c r="E5" s="17">
        <f t="shared" ref="E5:E17" si="0">D5*2.4/100+D5</f>
        <v>0</v>
      </c>
      <c r="F5" s="72">
        <v>50000</v>
      </c>
      <c r="G5" s="11">
        <f t="shared" ref="G5:G17" si="1">F5*2.4/100+F5</f>
        <v>51200</v>
      </c>
      <c r="H5" s="10">
        <f t="shared" ref="H5:H17" si="2">F5+D5</f>
        <v>50000</v>
      </c>
      <c r="I5" s="11">
        <f t="shared" ref="I5:I17" si="3">G5+E5</f>
        <v>51200</v>
      </c>
      <c r="J5" s="35"/>
      <c r="K5" s="18">
        <f t="shared" ref="K5:K17" si="4">J5*2.4/100+J5</f>
        <v>0</v>
      </c>
      <c r="L5" s="13">
        <f t="shared" ref="L5:L17" si="5">H5-J5</f>
        <v>50000</v>
      </c>
      <c r="M5" s="20">
        <f t="shared" ref="M5:M17" si="6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12"/>
      <c r="E6" s="17">
        <f t="shared" si="0"/>
        <v>0</v>
      </c>
      <c r="F6" s="72">
        <v>66000</v>
      </c>
      <c r="G6" s="11">
        <f t="shared" si="1"/>
        <v>67584</v>
      </c>
      <c r="H6" s="10">
        <f t="shared" si="2"/>
        <v>66000</v>
      </c>
      <c r="I6" s="11">
        <f t="shared" si="3"/>
        <v>67584</v>
      </c>
      <c r="J6" s="35">
        <v>66000</v>
      </c>
      <c r="K6" s="18">
        <f t="shared" si="4"/>
        <v>67584</v>
      </c>
      <c r="L6" s="13">
        <f t="shared" si="5"/>
        <v>0</v>
      </c>
      <c r="M6" s="20">
        <f t="shared" si="6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12"/>
      <c r="E7" s="17">
        <f t="shared" si="0"/>
        <v>0</v>
      </c>
      <c r="F7" s="72">
        <v>89000</v>
      </c>
      <c r="G7" s="11">
        <f t="shared" si="1"/>
        <v>91136</v>
      </c>
      <c r="H7" s="10">
        <f t="shared" si="2"/>
        <v>89000</v>
      </c>
      <c r="I7" s="11">
        <f t="shared" si="3"/>
        <v>91136</v>
      </c>
      <c r="J7" s="35">
        <v>89000</v>
      </c>
      <c r="K7" s="18">
        <f t="shared" si="4"/>
        <v>91136</v>
      </c>
      <c r="L7" s="13">
        <f t="shared" si="5"/>
        <v>0</v>
      </c>
      <c r="M7" s="20">
        <f t="shared" si="6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12"/>
      <c r="E8" s="17">
        <f t="shared" si="0"/>
        <v>0</v>
      </c>
      <c r="F8" s="72">
        <v>200000</v>
      </c>
      <c r="G8" s="11">
        <f t="shared" si="1"/>
        <v>204800</v>
      </c>
      <c r="H8" s="10">
        <f t="shared" si="2"/>
        <v>200000</v>
      </c>
      <c r="I8" s="11">
        <f t="shared" si="3"/>
        <v>204800</v>
      </c>
      <c r="J8" s="35">
        <v>200000</v>
      </c>
      <c r="K8" s="18">
        <f t="shared" si="4"/>
        <v>204800</v>
      </c>
      <c r="L8" s="13">
        <f t="shared" si="5"/>
        <v>0</v>
      </c>
      <c r="M8" s="20">
        <f t="shared" si="6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12"/>
      <c r="E9" s="17">
        <f t="shared" si="0"/>
        <v>0</v>
      </c>
      <c r="F9" s="72">
        <v>157000</v>
      </c>
      <c r="G9" s="11">
        <f t="shared" si="1"/>
        <v>160768</v>
      </c>
      <c r="H9" s="10">
        <f t="shared" si="2"/>
        <v>157000</v>
      </c>
      <c r="I9" s="11">
        <f t="shared" si="3"/>
        <v>160768</v>
      </c>
      <c r="J9" s="25">
        <v>157000</v>
      </c>
      <c r="K9" s="18">
        <f t="shared" si="4"/>
        <v>160768</v>
      </c>
      <c r="L9" s="13">
        <f t="shared" si="5"/>
        <v>0</v>
      </c>
      <c r="M9" s="20">
        <f t="shared" si="6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12"/>
      <c r="E10" s="17">
        <f t="shared" si="0"/>
        <v>0</v>
      </c>
      <c r="F10" s="72">
        <v>201000</v>
      </c>
      <c r="G10" s="11">
        <f t="shared" si="1"/>
        <v>205824</v>
      </c>
      <c r="H10" s="10">
        <f t="shared" si="2"/>
        <v>201000</v>
      </c>
      <c r="I10" s="11">
        <f t="shared" si="3"/>
        <v>205824</v>
      </c>
      <c r="J10" s="25">
        <v>201000</v>
      </c>
      <c r="K10" s="18">
        <f t="shared" si="4"/>
        <v>205824</v>
      </c>
      <c r="L10" s="13">
        <f t="shared" si="5"/>
        <v>0</v>
      </c>
      <c r="M10" s="20">
        <f t="shared" si="6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12"/>
      <c r="E11" s="17">
        <f t="shared" si="0"/>
        <v>0</v>
      </c>
      <c r="F11" s="72">
        <v>200000</v>
      </c>
      <c r="G11" s="11">
        <f t="shared" si="1"/>
        <v>204800</v>
      </c>
      <c r="H11" s="10">
        <f t="shared" si="2"/>
        <v>200000</v>
      </c>
      <c r="I11" s="11">
        <f t="shared" si="3"/>
        <v>204800</v>
      </c>
      <c r="J11" s="25">
        <v>199000</v>
      </c>
      <c r="K11" s="18">
        <f t="shared" si="4"/>
        <v>203776</v>
      </c>
      <c r="L11" s="13">
        <f t="shared" si="5"/>
        <v>1000</v>
      </c>
      <c r="M11" s="20">
        <f t="shared" si="6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12"/>
      <c r="E12" s="17">
        <f t="shared" si="0"/>
        <v>0</v>
      </c>
      <c r="F12" s="72">
        <v>70000</v>
      </c>
      <c r="G12" s="11">
        <f t="shared" si="1"/>
        <v>71680</v>
      </c>
      <c r="H12" s="10">
        <f t="shared" si="2"/>
        <v>70000</v>
      </c>
      <c r="I12" s="11">
        <f t="shared" si="3"/>
        <v>71680</v>
      </c>
      <c r="J12" s="25">
        <v>70000</v>
      </c>
      <c r="K12" s="18">
        <f t="shared" si="4"/>
        <v>71680</v>
      </c>
      <c r="L12" s="13">
        <f t="shared" si="5"/>
        <v>0</v>
      </c>
      <c r="M12" s="20">
        <f t="shared" si="6"/>
        <v>0</v>
      </c>
    </row>
    <row r="13" spans="1:13" ht="16.5" thickTop="1" thickBot="1" x14ac:dyDescent="0.3">
      <c r="A13" s="31">
        <v>10</v>
      </c>
      <c r="B13" s="34" t="s">
        <v>17</v>
      </c>
      <c r="C13" s="50">
        <v>3027107343</v>
      </c>
      <c r="D13" s="12"/>
      <c r="E13" s="17">
        <f t="shared" si="0"/>
        <v>0</v>
      </c>
      <c r="F13" s="72">
        <v>150000</v>
      </c>
      <c r="G13" s="11">
        <f t="shared" si="1"/>
        <v>153600</v>
      </c>
      <c r="H13" s="10">
        <f t="shared" si="2"/>
        <v>150000</v>
      </c>
      <c r="I13" s="11">
        <f t="shared" si="3"/>
        <v>153600</v>
      </c>
      <c r="J13" s="25">
        <v>150000</v>
      </c>
      <c r="K13" s="18">
        <f t="shared" si="4"/>
        <v>153600</v>
      </c>
      <c r="L13" s="13">
        <f t="shared" si="5"/>
        <v>0</v>
      </c>
      <c r="M13" s="20">
        <f t="shared" si="6"/>
        <v>0</v>
      </c>
    </row>
    <row r="14" spans="1:13" ht="16.5" thickTop="1" thickBot="1" x14ac:dyDescent="0.3">
      <c r="A14" s="31">
        <v>11</v>
      </c>
      <c r="B14" s="34" t="s">
        <v>48</v>
      </c>
      <c r="C14" s="50">
        <v>3087081311</v>
      </c>
      <c r="D14" s="12"/>
      <c r="E14" s="17">
        <f t="shared" si="0"/>
        <v>0</v>
      </c>
      <c r="F14" s="72">
        <v>2165</v>
      </c>
      <c r="G14" s="11">
        <f t="shared" si="1"/>
        <v>2216.96</v>
      </c>
      <c r="H14" s="10">
        <f t="shared" si="2"/>
        <v>2165</v>
      </c>
      <c r="I14" s="11">
        <f t="shared" si="3"/>
        <v>2216.96</v>
      </c>
      <c r="J14" s="25">
        <v>2165</v>
      </c>
      <c r="K14" s="18">
        <f t="shared" si="4"/>
        <v>2216.96</v>
      </c>
      <c r="L14" s="13">
        <f t="shared" si="5"/>
        <v>0</v>
      </c>
      <c r="M14" s="20">
        <f t="shared" si="6"/>
        <v>0</v>
      </c>
    </row>
    <row r="15" spans="1:13" ht="16.5" thickTop="1" thickBot="1" x14ac:dyDescent="0.3">
      <c r="A15" s="31">
        <v>12</v>
      </c>
      <c r="B15" s="34" t="s">
        <v>49</v>
      </c>
      <c r="C15" s="50">
        <v>3027108872</v>
      </c>
      <c r="D15" s="12"/>
      <c r="E15" s="17">
        <f t="shared" si="0"/>
        <v>0</v>
      </c>
      <c r="F15" s="72">
        <v>12000</v>
      </c>
      <c r="G15" s="11">
        <f t="shared" si="1"/>
        <v>12288</v>
      </c>
      <c r="H15" s="10">
        <f t="shared" si="2"/>
        <v>12000</v>
      </c>
      <c r="I15" s="11">
        <f t="shared" si="3"/>
        <v>12288</v>
      </c>
      <c r="J15" s="25">
        <v>12000</v>
      </c>
      <c r="K15" s="18">
        <f t="shared" si="4"/>
        <v>12288</v>
      </c>
      <c r="L15" s="13">
        <f t="shared" si="5"/>
        <v>0</v>
      </c>
      <c r="M15" s="20">
        <f t="shared" si="6"/>
        <v>0</v>
      </c>
    </row>
    <row r="16" spans="1:13" ht="16.5" thickTop="1" thickBot="1" x14ac:dyDescent="0.3">
      <c r="A16" s="31">
        <v>13</v>
      </c>
      <c r="B16" s="34" t="s">
        <v>50</v>
      </c>
      <c r="C16" s="50">
        <v>3250919702</v>
      </c>
      <c r="D16" s="12"/>
      <c r="E16" s="17">
        <f t="shared" si="0"/>
        <v>0</v>
      </c>
      <c r="F16" s="72"/>
      <c r="G16" s="11">
        <f t="shared" si="1"/>
        <v>0</v>
      </c>
      <c r="H16" s="10">
        <f t="shared" si="2"/>
        <v>0</v>
      </c>
      <c r="I16" s="11">
        <f t="shared" si="3"/>
        <v>0</v>
      </c>
      <c r="J16" s="25"/>
      <c r="K16" s="18">
        <f t="shared" si="4"/>
        <v>0</v>
      </c>
      <c r="L16" s="13">
        <f t="shared" si="5"/>
        <v>0</v>
      </c>
      <c r="M16" s="20">
        <f t="shared" si="6"/>
        <v>0</v>
      </c>
    </row>
    <row r="17" spans="1:19" ht="16.5" thickTop="1" thickBot="1" x14ac:dyDescent="0.3">
      <c r="A17" s="33">
        <v>14</v>
      </c>
      <c r="B17" s="34" t="s">
        <v>17</v>
      </c>
      <c r="C17" s="50">
        <v>3027107343</v>
      </c>
      <c r="D17" s="14"/>
      <c r="E17" s="17">
        <f t="shared" si="0"/>
        <v>0</v>
      </c>
      <c r="F17" s="72"/>
      <c r="G17" s="11">
        <f t="shared" si="1"/>
        <v>0</v>
      </c>
      <c r="H17" s="14">
        <f t="shared" si="2"/>
        <v>0</v>
      </c>
      <c r="I17" s="15">
        <f t="shared" si="3"/>
        <v>0</v>
      </c>
      <c r="J17" s="36"/>
      <c r="K17" s="18">
        <f t="shared" si="4"/>
        <v>0</v>
      </c>
      <c r="L17" s="21">
        <f t="shared" si="5"/>
        <v>0</v>
      </c>
      <c r="M17" s="20">
        <f t="shared" si="6"/>
        <v>0</v>
      </c>
      <c r="N17" s="23"/>
      <c r="O17" s="23"/>
      <c r="P17" s="23"/>
      <c r="Q17" s="23"/>
      <c r="R17" s="73"/>
      <c r="S17" s="73"/>
    </row>
    <row r="18" spans="1:19" ht="21.95" customHeight="1" thickTop="1" thickBot="1" x14ac:dyDescent="0.3">
      <c r="A18" s="107" t="s">
        <v>18</v>
      </c>
      <c r="B18" s="108"/>
      <c r="C18" s="108"/>
      <c r="D18" s="53">
        <f t="shared" ref="D18:M18" si="7">SUM(D4:D17)</f>
        <v>0</v>
      </c>
      <c r="E18" s="53">
        <f t="shared" si="7"/>
        <v>0</v>
      </c>
      <c r="F18" s="53">
        <f t="shared" si="7"/>
        <v>1197165</v>
      </c>
      <c r="G18" s="53">
        <f t="shared" si="7"/>
        <v>1225896.96</v>
      </c>
      <c r="H18" s="53">
        <f t="shared" si="7"/>
        <v>1197165</v>
      </c>
      <c r="I18" s="53">
        <f t="shared" si="7"/>
        <v>1225896.96</v>
      </c>
      <c r="J18" s="53">
        <f t="shared" si="7"/>
        <v>1146165</v>
      </c>
      <c r="K18" s="53">
        <f t="shared" si="7"/>
        <v>1173672.96</v>
      </c>
      <c r="L18" s="53">
        <f t="shared" si="7"/>
        <v>51000</v>
      </c>
      <c r="M18" s="54">
        <f t="shared" si="7"/>
        <v>52224</v>
      </c>
      <c r="N18" s="23">
        <f>K18*2.4/100</f>
        <v>28168.151039999997</v>
      </c>
      <c r="O18" s="74">
        <f>K18-N18</f>
        <v>1145504.8089600001</v>
      </c>
      <c r="P18" s="74">
        <f>J18-O18</f>
        <v>660.19103999994695</v>
      </c>
      <c r="Q18" s="23"/>
      <c r="R18" s="73"/>
      <c r="S18" s="73"/>
    </row>
    <row r="19" spans="1:19" x14ac:dyDescent="0.25">
      <c r="F19" s="19"/>
      <c r="N19" s="23"/>
      <c r="O19" s="23"/>
      <c r="P19" s="23"/>
      <c r="Q19" s="23"/>
    </row>
    <row r="21" spans="1:19" ht="15.75" thickBot="1" x14ac:dyDescent="0.3"/>
    <row r="22" spans="1:19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9" s="8" customFormat="1" ht="15.75" thickBot="1" x14ac:dyDescent="0.3">
      <c r="A23" s="111">
        <v>815579</v>
      </c>
      <c r="B23" s="112"/>
      <c r="C23" s="37">
        <v>700000</v>
      </c>
      <c r="D23" s="114">
        <v>630000</v>
      </c>
      <c r="E23" s="115"/>
      <c r="F23" s="98">
        <f>D23+C23+A23</f>
        <v>2145579</v>
      </c>
      <c r="G23" s="99"/>
      <c r="H23" s="102">
        <f>G18</f>
        <v>1225896.96</v>
      </c>
      <c r="I23" s="99"/>
      <c r="J23" s="103">
        <f>F23-H23</f>
        <v>919682.04</v>
      </c>
      <c r="K23" s="104"/>
      <c r="L23" s="22">
        <f>J23</f>
        <v>919682.04</v>
      </c>
    </row>
    <row r="24" spans="1:19" ht="15.75" thickBot="1" x14ac:dyDescent="0.3"/>
    <row r="25" spans="1:19" x14ac:dyDescent="0.25">
      <c r="K25" s="92" t="s">
        <v>46</v>
      </c>
      <c r="L25" s="93"/>
      <c r="M25" s="38">
        <f>P18</f>
        <v>660.19103999994695</v>
      </c>
    </row>
    <row r="26" spans="1:19" ht="15.75" thickBot="1" x14ac:dyDescent="0.3">
      <c r="J26" s="19"/>
      <c r="K26" s="94" t="s">
        <v>45</v>
      </c>
      <c r="L26" s="95"/>
      <c r="M26" s="39">
        <f>J18*1.16/100</f>
        <v>13295.513999999999</v>
      </c>
    </row>
    <row r="27" spans="1:19" ht="15.75" thickBot="1" x14ac:dyDescent="0.3">
      <c r="J27" s="19"/>
      <c r="K27" s="96" t="s">
        <v>32</v>
      </c>
      <c r="L27" s="97"/>
      <c r="M27" s="24">
        <f>M26+M25</f>
        <v>13955.705039999946</v>
      </c>
    </row>
  </sheetData>
  <mergeCells count="20">
    <mergeCell ref="A18:C18"/>
    <mergeCell ref="A22:B22"/>
    <mergeCell ref="A23:B23"/>
    <mergeCell ref="A2:C2"/>
    <mergeCell ref="D2:E2"/>
    <mergeCell ref="D23:E23"/>
    <mergeCell ref="F2:G2"/>
    <mergeCell ref="H2:I2"/>
    <mergeCell ref="J2:K2"/>
    <mergeCell ref="L2:M2"/>
    <mergeCell ref="D22:E22"/>
    <mergeCell ref="F22:G22"/>
    <mergeCell ref="K25:L25"/>
    <mergeCell ref="K26:L26"/>
    <mergeCell ref="K27:L27"/>
    <mergeCell ref="F23:G23"/>
    <mergeCell ref="H22:I22"/>
    <mergeCell ref="H23:I23"/>
    <mergeCell ref="J22:K22"/>
    <mergeCell ref="J23:K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64" t="s">
        <v>30</v>
      </c>
      <c r="E3" s="64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'1'!L4</f>
        <v>0</v>
      </c>
      <c r="E4" s="63">
        <f>D4*2.4/100+D4</f>
        <v>0</v>
      </c>
      <c r="F4" s="65"/>
      <c r="G4" s="11">
        <f>F4*2.4/100+F4</f>
        <v>0</v>
      </c>
      <c r="H4" s="12">
        <f>F4+D4</f>
        <v>0</v>
      </c>
      <c r="I4" s="16">
        <f>G4+E4</f>
        <v>0</v>
      </c>
      <c r="J4" s="68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59">
        <f>'1'!L5</f>
        <v>50000</v>
      </c>
      <c r="E5" s="63">
        <f t="shared" ref="E5:E17" si="0">D5*2.4/100+D5</f>
        <v>51200</v>
      </c>
      <c r="F5" s="68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68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59">
        <f>'1'!L6</f>
        <v>0</v>
      </c>
      <c r="E6" s="63">
        <f t="shared" si="0"/>
        <v>0</v>
      </c>
      <c r="F6" s="68"/>
      <c r="G6" s="11">
        <f t="shared" si="1"/>
        <v>0</v>
      </c>
      <c r="H6" s="10">
        <f t="shared" si="2"/>
        <v>0</v>
      </c>
      <c r="I6" s="11">
        <f t="shared" si="2"/>
        <v>0</v>
      </c>
      <c r="J6" s="68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59">
        <f>'1'!L7</f>
        <v>0</v>
      </c>
      <c r="E7" s="63">
        <f t="shared" si="0"/>
        <v>0</v>
      </c>
      <c r="F7" s="68"/>
      <c r="G7" s="11">
        <f t="shared" si="1"/>
        <v>0</v>
      </c>
      <c r="H7" s="10">
        <f t="shared" si="2"/>
        <v>0</v>
      </c>
      <c r="I7" s="11">
        <f t="shared" si="2"/>
        <v>0</v>
      </c>
      <c r="J7" s="68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59">
        <f>'1'!L8</f>
        <v>0</v>
      </c>
      <c r="E8" s="63">
        <f t="shared" si="0"/>
        <v>0</v>
      </c>
      <c r="F8" s="68"/>
      <c r="G8" s="11">
        <f t="shared" si="1"/>
        <v>0</v>
      </c>
      <c r="H8" s="10">
        <f t="shared" si="2"/>
        <v>0</v>
      </c>
      <c r="I8" s="11">
        <f t="shared" si="2"/>
        <v>0</v>
      </c>
      <c r="J8" s="68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59">
        <f>'1'!L9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59">
        <f>'1'!L10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59">
        <f>'1'!L11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59">
        <f>'1'!L12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59">
        <f>'1'!L13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59">
        <f>'1'!L14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59">
        <f>'1'!L15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59">
        <f>'1'!L16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0">
        <f>'1'!L17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18"/>
      <c r="D18" s="61">
        <f t="shared" ref="D18:M18" si="6">SUM(D4:D17)</f>
        <v>51000</v>
      </c>
      <c r="E18" s="54">
        <f t="shared" si="6"/>
        <v>52224</v>
      </c>
      <c r="F18" s="58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8" s="8" customFormat="1" ht="15.75" thickBot="1" x14ac:dyDescent="0.3">
      <c r="A23" s="116">
        <f>'1'!L23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'2'!L17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  <c r="N17" s="23"/>
      <c r="O17" s="23"/>
      <c r="P17" s="23"/>
      <c r="Q17" s="23"/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  <c r="N19" s="23"/>
      <c r="O19" s="23"/>
      <c r="P19" s="23"/>
      <c r="Q19" s="23"/>
    </row>
    <row r="20" spans="1:17" x14ac:dyDescent="0.25">
      <c r="N20" s="23"/>
      <c r="O20" s="23"/>
      <c r="P20" s="23"/>
      <c r="Q20" s="23"/>
    </row>
    <row r="21" spans="1:17" ht="15.75" thickBot="1" x14ac:dyDescent="0.3">
      <c r="N21" s="23"/>
      <c r="O21" s="23"/>
      <c r="P21" s="23"/>
      <c r="Q21" s="23"/>
    </row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  <c r="O22" s="75"/>
      <c r="P22" s="75"/>
      <c r="Q22" s="75"/>
    </row>
    <row r="23" spans="1:17" s="8" customFormat="1" ht="15.75" thickBot="1" x14ac:dyDescent="0.3">
      <c r="A23" s="116">
        <f>'2'!L23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  <c r="O23" s="76"/>
      <c r="P23" s="76"/>
    </row>
    <row r="24" spans="1:17" ht="15.75" thickBot="1" x14ac:dyDescent="0.3">
      <c r="L24" s="23"/>
      <c r="M24" s="23"/>
      <c r="N24" s="23"/>
      <c r="O24" s="23"/>
      <c r="P24" s="23"/>
    </row>
    <row r="25" spans="1:17" ht="15" customHeight="1" x14ac:dyDescent="0.25">
      <c r="K25" s="92" t="s">
        <v>35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36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'3'!L4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'3'!L5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'3'!L6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'3'!L7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'3'!L8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'3'!L9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'3'!L10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'3'!L11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'3'!L12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'3'!L13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'3'!L14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'3'!L15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'3'!L16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'3'!L17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8" s="8" customFormat="1" ht="15.75" thickBot="1" x14ac:dyDescent="0.3">
      <c r="A23" s="116">
        <f>'3'!L23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'4'!L4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'4'!L5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'4'!L6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'4'!L7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'4'!L8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'4'!L9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'4'!L10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'4'!L11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'4'!L12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'4'!L13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'4'!L14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'4'!L15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'4'!L16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'4'!L17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</row>
    <row r="23" spans="1:17" s="8" customFormat="1" ht="15.75" thickBot="1" x14ac:dyDescent="0.3">
      <c r="A23" s="116">
        <f>'4'!L23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B1"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'5'!L4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'5'!L5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'5'!L6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'5'!L7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'5'!L8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'5'!L9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'5'!L10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'5'!L11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'5'!L12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'5'!L13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'5'!L14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'5'!L15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'5'!L16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'5'!L17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  <c r="O22" s="75"/>
      <c r="P22" s="75"/>
    </row>
    <row r="23" spans="1:18" s="8" customFormat="1" ht="15.75" thickBot="1" x14ac:dyDescent="0.3">
      <c r="A23" s="116">
        <f>'5'!L23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  <c r="O23" s="76"/>
      <c r="P23" s="76"/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'6'!L4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'6'!L5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'6'!L6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'6'!L7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'6'!L8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'6'!L9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'6'!L10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'6'!L11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'6'!L12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'6'!L13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'6'!L14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'6'!L15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'6'!L16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'6'!L17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</row>
    <row r="23" spans="1:17" s="8" customFormat="1" ht="15.75" thickBot="1" x14ac:dyDescent="0.3">
      <c r="A23" s="116">
        <f>'6'!L23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</row>
    <row r="24" spans="1:17" ht="15.75" thickBot="1" x14ac:dyDescent="0.3"/>
    <row r="25" spans="1:17" ht="15" customHeight="1" x14ac:dyDescent="0.25">
      <c r="K25" s="92" t="s">
        <v>35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opLeftCell="A3" zoomScale="90" zoomScaleNormal="90" workbookViewId="0">
      <selection activeCell="O14" sqref="O14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'7'!L4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'7'!L5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'7'!L6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'7'!L7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'7'!L8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'7'!L9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'7'!L10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'7'!L11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'7'!L12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'7'!L13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'7'!L14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'7'!L15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'7'!L16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'7'!L17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</row>
    <row r="23" spans="1:17" s="8" customFormat="1" ht="15.75" thickBot="1" x14ac:dyDescent="0.3">
      <c r="A23" s="116">
        <f>'7'!L23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</row>
    <row r="24" spans="1:17" ht="15.75" thickBot="1" x14ac:dyDescent="0.3">
      <c r="L24" s="23"/>
      <c r="M24" s="23"/>
      <c r="N24" s="23"/>
    </row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customHeight="1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B1"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'8'!L4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'8'!L5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'8'!L6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'8'!L7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'8'!L8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'8'!L9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'8'!L10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'8'!L11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'8'!L12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'8'!L13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'8'!L14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'8'!L15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'8'!L16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'8'!L17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</row>
    <row r="23" spans="1:18" s="8" customFormat="1" ht="15.75" thickBot="1" x14ac:dyDescent="0.3">
      <c r="A23" s="116">
        <f>'8'!L23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'9'!L4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'9'!L5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'9'!L6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'9'!L7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'9'!L8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'9'!L9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'9'!L10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'9'!L11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'9'!L12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'9'!L13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'9'!L14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'9'!L15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'9'!L16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'9'!L17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</row>
    <row r="23" spans="1:18" s="8" customFormat="1" ht="15.75" thickBot="1" x14ac:dyDescent="0.3">
      <c r="A23" s="116">
        <f>'9'!L23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'10'!L4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'10'!L5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'10'!L6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'10'!L7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'10'!L8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'10'!L9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'10'!L10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'10'!L11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'10'!L12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'10'!L13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'10'!L14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'10'!L15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'10'!L16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'10'!L17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8" s="8" customFormat="1" ht="15.75" thickBot="1" x14ac:dyDescent="0.3">
      <c r="A23" s="116">
        <f>'10'!L23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47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'11'!L4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'11'!L5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'11'!L6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'11'!L7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'11'!L8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'11'!L9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'11'!L10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'11'!L11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'11'!L12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'11'!L13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'11'!L14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'11'!L15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'11'!L16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'11'!L17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</row>
    <row r="23" spans="1:17" s="8" customFormat="1" ht="15.75" thickBot="1" x14ac:dyDescent="0.3">
      <c r="A23" s="116">
        <f>'11'!L23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3"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'12'!L4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'12'!L5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'12'!L6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'12'!L7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'12'!L8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'12'!L9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'12'!L10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'12'!L11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'12'!L12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'12'!L13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'12'!L14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'12'!L15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'12'!L16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'12'!L17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</row>
    <row r="23" spans="1:18" s="8" customFormat="1" ht="15.75" thickBot="1" x14ac:dyDescent="0.3">
      <c r="A23" s="116">
        <f>'12'!L23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'13'!L4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'13'!L5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'13'!L6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'13'!L7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'13'!L8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'13'!L9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'13'!L10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'13'!L11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'13'!L12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'13'!L13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'13'!L14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'13'!L15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'13'!L16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'13'!L17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  <c r="O22" s="75"/>
    </row>
    <row r="23" spans="1:17" s="8" customFormat="1" ht="15.75" thickBot="1" x14ac:dyDescent="0.3">
      <c r="A23" s="116">
        <f>'13'!L23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  <c r="O23" s="76"/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opLeftCell="A3"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'14'!L4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'14'!L5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'14'!L6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'14'!L7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'14'!L8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'14'!L9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'14'!L10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'14'!L11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'14'!L12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'14'!L13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'14'!L14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'14'!L15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'14'!L16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'14'!L17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  <c r="O22" s="75"/>
    </row>
    <row r="23" spans="1:17" s="8" customFormat="1" ht="15.75" thickBot="1" x14ac:dyDescent="0.3">
      <c r="A23" s="116">
        <f>'14'!L23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  <c r="O23" s="76"/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'15'!L4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'15'!L5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'15'!L6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'15'!L7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'15'!L8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'15'!L9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'15'!L10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'15'!L11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'15'!L12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'15'!L13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'15'!L14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'15'!L15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'15'!L16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'15'!L17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  <c r="O22" s="75"/>
    </row>
    <row r="23" spans="1:18" s="8" customFormat="1" ht="15.75" thickBot="1" x14ac:dyDescent="0.3">
      <c r="A23" s="116">
        <f>'15'!L23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  <c r="O23" s="76"/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'16'!L4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'16'!L5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'16'!L6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'16'!L7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'16'!L8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'16'!L9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'16'!L10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'16'!L11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'16'!L12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'16'!L13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'16'!L14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'16'!L15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'16'!L16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'16'!L17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  <c r="O22" s="75"/>
    </row>
    <row r="23" spans="1:18" s="8" customFormat="1" ht="15.75" thickBot="1" x14ac:dyDescent="0.3">
      <c r="A23" s="116">
        <f>'16'!L23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  <c r="O23" s="76"/>
    </row>
    <row r="25" spans="1:18" ht="15" customHeight="1" x14ac:dyDescent="0.25">
      <c r="K25" s="119" t="s">
        <v>46</v>
      </c>
      <c r="L25" s="119"/>
      <c r="M25" s="69">
        <f>P18</f>
        <v>0</v>
      </c>
    </row>
    <row r="26" spans="1:18" ht="15.75" customHeight="1" x14ac:dyDescent="0.25">
      <c r="J26" s="19"/>
      <c r="K26" s="119" t="s">
        <v>45</v>
      </c>
      <c r="L26" s="119"/>
      <c r="M26" s="70">
        <f>J18*1.16/100</f>
        <v>0</v>
      </c>
    </row>
    <row r="27" spans="1:18" x14ac:dyDescent="0.25">
      <c r="J27" s="19"/>
      <c r="K27" s="120" t="s">
        <v>32</v>
      </c>
      <c r="L27" s="120"/>
      <c r="M27" s="71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'17'!L4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'17'!L5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'17'!L6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'17'!L7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'17'!L8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'17'!L9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'17'!L10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'17'!L11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'17'!L12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'17'!L13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'17'!L14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'17'!L15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'17'!L16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'17'!L17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7" s="8" customFormat="1" ht="15.75" thickBot="1" x14ac:dyDescent="0.3">
      <c r="A23" s="116">
        <f>'17'!L23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7" ht="15.75" thickBot="1" x14ac:dyDescent="0.3"/>
    <row r="25" spans="1:17" ht="15" customHeight="1" x14ac:dyDescent="0.25">
      <c r="K25" s="92" t="s">
        <v>35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'18'!L4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'18'!L5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'18'!L6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'18'!L7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'18'!L8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'18'!L9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'18'!L10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'18'!L11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'18'!L12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'18'!L13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'18'!L14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'18'!L15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'18'!L16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'18'!L17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</row>
    <row r="23" spans="1:17" s="8" customFormat="1" ht="15.75" thickBot="1" x14ac:dyDescent="0.3">
      <c r="A23" s="116">
        <f>'18'!L23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</row>
    <row r="24" spans="1:17" ht="15.75" thickBot="1" x14ac:dyDescent="0.3">
      <c r="L24" s="23"/>
      <c r="M24" s="23"/>
    </row>
    <row r="25" spans="1:17" ht="15" customHeight="1" x14ac:dyDescent="0.25">
      <c r="K25" s="92" t="s">
        <v>35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'19'!L4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'19'!L5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'19'!L6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'19'!L7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'19'!L8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'19'!L9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'19'!L10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'19'!L11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'19'!L12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'19'!L13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'19'!L14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'19'!L15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'19'!L16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'19'!L17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7" s="8" customFormat="1" ht="15.75" thickBot="1" x14ac:dyDescent="0.3">
      <c r="A23" s="116">
        <f>'19'!L23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7" ht="15.75" thickBot="1" x14ac:dyDescent="0.3"/>
    <row r="25" spans="1:17" ht="15" customHeight="1" x14ac:dyDescent="0.25">
      <c r="K25" s="92" t="s">
        <v>35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0" zoomScaleNormal="90" workbookViewId="0">
      <selection activeCell="N14" sqref="N14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'20'!L4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'20'!L5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'20'!L6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'20'!L7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'20'!L8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'20'!L9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'20'!L10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'20'!L11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'20'!L12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'20'!L13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'20'!L14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'20'!L15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'20'!L16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'20'!L17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</row>
    <row r="23" spans="1:18" s="8" customFormat="1" ht="15.75" thickBot="1" x14ac:dyDescent="0.3">
      <c r="A23" s="116">
        <f>'20'!L23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opLeftCell="A3"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'21'!L4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'21'!L5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'21'!L6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'21'!L7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'21'!L8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'21'!L9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'21'!L10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'21'!L11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'21'!L12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'21'!L13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'21'!L14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'21'!L15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'21'!L16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'21'!L17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7" s="8" customFormat="1" ht="15.75" thickBot="1" x14ac:dyDescent="0.3">
      <c r="A23" s="116">
        <f>'21'!L23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7" ht="15.75" thickBot="1" x14ac:dyDescent="0.3"/>
    <row r="25" spans="1:17" ht="15" customHeight="1" x14ac:dyDescent="0.25">
      <c r="K25" s="92" t="s">
        <v>35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'22'!L4</f>
        <v>0</v>
      </c>
      <c r="E4" s="63">
        <f>D4*2.4/100+D4</f>
        <v>0</v>
      </c>
      <c r="F4" s="66"/>
      <c r="G4" s="11">
        <f>F4*2.6/100+F4</f>
        <v>0</v>
      </c>
      <c r="H4" s="12">
        <f>F4+D4</f>
        <v>0</v>
      </c>
      <c r="I4" s="16">
        <f>G4+E4</f>
        <v>0</v>
      </c>
      <c r="J4" s="35"/>
      <c r="K4" s="18">
        <f>J4*2.6/100+J4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'22'!L5</f>
        <v>50000</v>
      </c>
      <c r="E5" s="63">
        <f t="shared" ref="E5:E17" si="0">D5*2.4/100+D5</f>
        <v>51200</v>
      </c>
      <c r="F5" s="26"/>
      <c r="G5" s="11">
        <f t="shared" ref="G5:G17" si="1">F5*2.6/100+F5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J5*2.6/100+J5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'22'!L6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'22'!L7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'22'!L8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'22'!L9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'22'!L10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'22'!L11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'22'!L12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'22'!L13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'22'!L14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'22'!L15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'22'!L16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'22'!L17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7" s="8" customFormat="1" ht="15.75" thickBot="1" x14ac:dyDescent="0.3">
      <c r="A23" s="116">
        <f>'22'!L23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'23'!L4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'23'!L5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'23'!L6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'23'!L7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'23'!L8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'23'!L9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'23'!L10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'23'!L11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'23'!L12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'23'!L13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'23'!L14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'23'!L15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'23'!L16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'23'!L17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7" s="8" customFormat="1" ht="15.75" thickBot="1" x14ac:dyDescent="0.3">
      <c r="A23" s="116">
        <f>'23'!L23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'24'!L4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'24'!L5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'24'!L6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'24'!L7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'24'!L8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'24'!L9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'24'!L10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'24'!L11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'24'!L12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'24'!L13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'24'!L14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'24'!L15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'24'!L16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'24'!L17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7" s="8" customFormat="1" ht="15.75" thickBot="1" x14ac:dyDescent="0.3">
      <c r="A23" s="116">
        <f>'24'!L23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'25'!L4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'25'!L5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'25'!L6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'25'!L7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'25'!L8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'25'!L9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'25'!L10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'25'!L11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'25'!L12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'25'!L13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'25'!L14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'25'!L15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'25'!L16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'25'!L17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7" s="8" customFormat="1" ht="15.75" thickBot="1" x14ac:dyDescent="0.3">
      <c r="A23" s="116">
        <f>'25'!L23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'26'!L4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'26'!L5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'26'!L6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'26'!L7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'26'!L8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'26'!L9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'26'!L10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'26'!L11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'26'!L12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'26'!L13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'26'!L14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'26'!L15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'26'!L16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'26'!L17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  <c r="N17" s="23"/>
      <c r="O17" s="23"/>
      <c r="P17" s="23"/>
      <c r="Q17" s="23"/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25"/>
      <c r="J22" s="124" t="s">
        <v>3</v>
      </c>
      <c r="K22" s="124"/>
      <c r="L22" s="77"/>
      <c r="M22" s="77"/>
      <c r="N22" s="77"/>
      <c r="O22" s="77"/>
    </row>
    <row r="23" spans="1:17" s="8" customFormat="1" ht="15.75" thickBot="1" x14ac:dyDescent="0.3">
      <c r="A23" s="116">
        <f>'26'!L23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121"/>
      <c r="J23" s="122">
        <f>F23-H23</f>
        <v>919682.04</v>
      </c>
      <c r="K23" s="123"/>
      <c r="L23" s="78">
        <f>J23</f>
        <v>919682.04</v>
      </c>
      <c r="M23" s="79"/>
      <c r="N23" s="79"/>
      <c r="O23" s="79"/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J18*0.96/100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Q14" sqref="Q14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'27'!L4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'27'!L5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'27'!L6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'27'!L7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'27'!L8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'27'!L9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'27'!L10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'27'!L11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'27'!L12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'27'!L13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'27'!L14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'27'!L15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'27'!L16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'27'!L17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  <c r="L22" s="75"/>
      <c r="M22" s="75"/>
      <c r="N22" s="75"/>
    </row>
    <row r="23" spans="1:17" s="8" customFormat="1" ht="15.75" thickBot="1" x14ac:dyDescent="0.3">
      <c r="A23" s="116">
        <f>'27'!L23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  <c r="M23" s="76"/>
      <c r="N23" s="76"/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3"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'28'!L4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'28'!L5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'28'!L6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'28'!L7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'28'!L8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'28'!L9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'28'!L10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'28'!L11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'28'!L12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'28'!L13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'28'!L14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'28'!L15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'28'!L16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'28'!L17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8" s="8" customFormat="1" ht="15.75" thickBot="1" x14ac:dyDescent="0.3">
      <c r="A23" s="116">
        <f>'28'!L23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M4" sqref="M4:M17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'29'!L4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'29'!L5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'29'!L6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'29'!L7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'29'!L8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'29'!L9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'29'!L10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'29'!L11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'29'!L12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'29'!L13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'29'!L14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'29'!L15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'29'!L16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7" ht="16.5" thickTop="1" thickBot="1" x14ac:dyDescent="0.3">
      <c r="A17" s="33">
        <v>14</v>
      </c>
      <c r="B17" s="34" t="s">
        <v>17</v>
      </c>
      <c r="C17" s="50">
        <v>3027107343</v>
      </c>
      <c r="D17" s="62">
        <f>'29'!L17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7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</row>
    <row r="19" spans="1:17" x14ac:dyDescent="0.25">
      <c r="F19" s="19"/>
    </row>
    <row r="21" spans="1:17" ht="15.75" thickBot="1" x14ac:dyDescent="0.3"/>
    <row r="22" spans="1:17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7" s="8" customFormat="1" ht="15.75" thickBot="1" x14ac:dyDescent="0.3">
      <c r="A23" s="116">
        <f>'29'!L23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7" ht="15.75" thickBot="1" x14ac:dyDescent="0.3"/>
    <row r="25" spans="1:17" ht="15" customHeight="1" x14ac:dyDescent="0.25">
      <c r="K25" s="92" t="s">
        <v>46</v>
      </c>
      <c r="L25" s="93"/>
      <c r="M25" s="38">
        <f>P18</f>
        <v>0</v>
      </c>
    </row>
    <row r="26" spans="1:17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7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0" zoomScaleNormal="90" workbookViewId="0">
      <selection activeCell="P8" sqref="P8:P9"/>
    </sheetView>
  </sheetViews>
  <sheetFormatPr defaultColWidth="8.7109375" defaultRowHeight="15" x14ac:dyDescent="0.25"/>
  <cols>
    <col min="1" max="1" width="5.42578125" style="2" customWidth="1"/>
    <col min="2" max="2" width="14.5703125" style="1" customWidth="1"/>
    <col min="3" max="3" width="18.28515625" style="2" customWidth="1"/>
    <col min="4" max="5" width="11.5703125" style="2" customWidth="1"/>
    <col min="6" max="13" width="11.5703125" style="1" customWidth="1"/>
    <col min="14" max="16384" width="8.7109375" style="1"/>
  </cols>
  <sheetData>
    <row r="1" spans="1:13" ht="6" customHeight="1" thickBot="1" x14ac:dyDescent="0.3"/>
    <row r="2" spans="1:13" s="4" customFormat="1" ht="19.7" customHeight="1" thickTop="1" thickBot="1" x14ac:dyDescent="0.3">
      <c r="A2" s="105"/>
      <c r="B2" s="113"/>
      <c r="C2" s="113"/>
      <c r="D2" s="113" t="s">
        <v>22</v>
      </c>
      <c r="E2" s="113"/>
      <c r="F2" s="105" t="s">
        <v>24</v>
      </c>
      <c r="G2" s="105"/>
      <c r="H2" s="105" t="s">
        <v>28</v>
      </c>
      <c r="I2" s="105"/>
      <c r="J2" s="105" t="s">
        <v>26</v>
      </c>
      <c r="K2" s="105"/>
      <c r="L2" s="105" t="s">
        <v>27</v>
      </c>
      <c r="M2" s="105"/>
    </row>
    <row r="3" spans="1:13" s="9" customFormat="1" ht="24.95" customHeight="1" thickTop="1" thickBot="1" x14ac:dyDescent="0.3">
      <c r="A3" s="51" t="s">
        <v>19</v>
      </c>
      <c r="B3" s="51" t="s">
        <v>15</v>
      </c>
      <c r="C3" s="51" t="s">
        <v>16</v>
      </c>
      <c r="D3" s="52" t="s">
        <v>30</v>
      </c>
      <c r="E3" s="52" t="s">
        <v>25</v>
      </c>
      <c r="F3" s="52" t="s">
        <v>30</v>
      </c>
      <c r="G3" s="52" t="s">
        <v>31</v>
      </c>
      <c r="H3" s="52" t="s">
        <v>23</v>
      </c>
      <c r="I3" s="52" t="s">
        <v>25</v>
      </c>
      <c r="J3" s="52" t="s">
        <v>29</v>
      </c>
      <c r="K3" s="52" t="s">
        <v>25</v>
      </c>
      <c r="L3" s="52" t="s">
        <v>23</v>
      </c>
      <c r="M3" s="52" t="s">
        <v>25</v>
      </c>
    </row>
    <row r="4" spans="1:13" ht="16.5" thickTop="1" thickBot="1" x14ac:dyDescent="0.3">
      <c r="A4" s="29">
        <v>1</v>
      </c>
      <c r="B4" s="30" t="s">
        <v>37</v>
      </c>
      <c r="C4" s="49">
        <v>3017211475</v>
      </c>
      <c r="D4" s="62">
        <f>'30'!L4</f>
        <v>0</v>
      </c>
      <c r="E4" s="63">
        <f>D4*2.4/100+D4</f>
        <v>0</v>
      </c>
      <c r="F4" s="66"/>
      <c r="G4" s="11">
        <f>F4*2.4/100+F4</f>
        <v>0</v>
      </c>
      <c r="H4" s="12">
        <f>F4+D4</f>
        <v>0</v>
      </c>
      <c r="I4" s="16">
        <f>G4+E4</f>
        <v>0</v>
      </c>
      <c r="J4" s="35"/>
      <c r="K4" s="18">
        <f>J4*2.4/100+J4</f>
        <v>0</v>
      </c>
      <c r="L4" s="13">
        <f>H4-J4</f>
        <v>0</v>
      </c>
      <c r="M4" s="20">
        <f>L4*2.4/100+L4</f>
        <v>0</v>
      </c>
    </row>
    <row r="5" spans="1:13" ht="16.5" thickTop="1" thickBot="1" x14ac:dyDescent="0.3">
      <c r="A5" s="31">
        <v>2</v>
      </c>
      <c r="B5" s="32" t="s">
        <v>39</v>
      </c>
      <c r="C5" s="50">
        <v>3051639672</v>
      </c>
      <c r="D5" s="62">
        <f>'30'!L5</f>
        <v>50000</v>
      </c>
      <c r="E5" s="63">
        <f t="shared" ref="E5:E17" si="0">D5*2.4/100+D5</f>
        <v>51200</v>
      </c>
      <c r="F5" s="26"/>
      <c r="G5" s="11">
        <f t="shared" ref="G5:G17" si="1">F5*2.4/100+F5</f>
        <v>0</v>
      </c>
      <c r="H5" s="10">
        <f t="shared" ref="H5:I17" si="2">F5+D5</f>
        <v>50000</v>
      </c>
      <c r="I5" s="11">
        <f t="shared" si="2"/>
        <v>51200</v>
      </c>
      <c r="J5" s="25"/>
      <c r="K5" s="18">
        <f t="shared" ref="K5:K17" si="3">J5*2.4/100+J5</f>
        <v>0</v>
      </c>
      <c r="L5" s="13">
        <f t="shared" ref="L5:L17" si="4">H5-J5</f>
        <v>50000</v>
      </c>
      <c r="M5" s="20">
        <f t="shared" ref="M5:M17" si="5">L5*2.4/100+L5</f>
        <v>51200</v>
      </c>
    </row>
    <row r="6" spans="1:13" ht="16.5" thickTop="1" thickBot="1" x14ac:dyDescent="0.3">
      <c r="A6" s="31">
        <v>3</v>
      </c>
      <c r="B6" s="32" t="s">
        <v>40</v>
      </c>
      <c r="C6" s="50">
        <v>3017211714</v>
      </c>
      <c r="D6" s="62">
        <f>'30'!L6</f>
        <v>0</v>
      </c>
      <c r="E6" s="63">
        <f t="shared" si="0"/>
        <v>0</v>
      </c>
      <c r="F6" s="27"/>
      <c r="G6" s="11">
        <f t="shared" si="1"/>
        <v>0</v>
      </c>
      <c r="H6" s="10">
        <f t="shared" si="2"/>
        <v>0</v>
      </c>
      <c r="I6" s="11">
        <f t="shared" si="2"/>
        <v>0</v>
      </c>
      <c r="J6" s="25"/>
      <c r="K6" s="18">
        <f t="shared" si="3"/>
        <v>0</v>
      </c>
      <c r="L6" s="13">
        <f t="shared" si="4"/>
        <v>0</v>
      </c>
      <c r="M6" s="20">
        <f t="shared" si="5"/>
        <v>0</v>
      </c>
    </row>
    <row r="7" spans="1:13" ht="16.5" thickTop="1" thickBot="1" x14ac:dyDescent="0.3">
      <c r="A7" s="31">
        <v>4</v>
      </c>
      <c r="B7" s="32" t="s">
        <v>38</v>
      </c>
      <c r="C7" s="50">
        <v>3027100125</v>
      </c>
      <c r="D7" s="62">
        <f>'30'!L7</f>
        <v>0</v>
      </c>
      <c r="E7" s="63">
        <f t="shared" si="0"/>
        <v>0</v>
      </c>
      <c r="F7" s="27"/>
      <c r="G7" s="11">
        <f t="shared" si="1"/>
        <v>0</v>
      </c>
      <c r="H7" s="10">
        <f t="shared" si="2"/>
        <v>0</v>
      </c>
      <c r="I7" s="11">
        <f t="shared" si="2"/>
        <v>0</v>
      </c>
      <c r="J7" s="25"/>
      <c r="K7" s="18">
        <f t="shared" si="3"/>
        <v>0</v>
      </c>
      <c r="L7" s="13">
        <f t="shared" si="4"/>
        <v>0</v>
      </c>
      <c r="M7" s="20">
        <f t="shared" si="5"/>
        <v>0</v>
      </c>
    </row>
    <row r="8" spans="1:13" ht="16.5" thickTop="1" thickBot="1" x14ac:dyDescent="0.3">
      <c r="A8" s="31">
        <v>5</v>
      </c>
      <c r="B8" s="32" t="s">
        <v>41</v>
      </c>
      <c r="C8" s="50">
        <v>3027100126</v>
      </c>
      <c r="D8" s="62">
        <f>'30'!L8</f>
        <v>0</v>
      </c>
      <c r="E8" s="63">
        <f t="shared" si="0"/>
        <v>0</v>
      </c>
      <c r="F8" s="27"/>
      <c r="G8" s="11">
        <f t="shared" si="1"/>
        <v>0</v>
      </c>
      <c r="H8" s="10">
        <f t="shared" si="2"/>
        <v>0</v>
      </c>
      <c r="I8" s="11">
        <f t="shared" si="2"/>
        <v>0</v>
      </c>
      <c r="J8" s="25"/>
      <c r="K8" s="18">
        <f t="shared" si="3"/>
        <v>0</v>
      </c>
      <c r="L8" s="13">
        <f t="shared" si="4"/>
        <v>0</v>
      </c>
      <c r="M8" s="20">
        <f t="shared" si="5"/>
        <v>0</v>
      </c>
    </row>
    <row r="9" spans="1:13" ht="16.5" thickTop="1" thickBot="1" x14ac:dyDescent="0.3">
      <c r="A9" s="31">
        <v>6</v>
      </c>
      <c r="B9" s="32" t="s">
        <v>44</v>
      </c>
      <c r="C9" s="50">
        <v>3027103467</v>
      </c>
      <c r="D9" s="62">
        <f>'30'!L9</f>
        <v>0</v>
      </c>
      <c r="E9" s="63">
        <f t="shared" si="0"/>
        <v>0</v>
      </c>
      <c r="F9" s="27"/>
      <c r="G9" s="11">
        <f t="shared" si="1"/>
        <v>0</v>
      </c>
      <c r="H9" s="10">
        <f t="shared" si="2"/>
        <v>0</v>
      </c>
      <c r="I9" s="11">
        <f t="shared" si="2"/>
        <v>0</v>
      </c>
      <c r="J9" s="25"/>
      <c r="K9" s="18">
        <f t="shared" si="3"/>
        <v>0</v>
      </c>
      <c r="L9" s="13">
        <f t="shared" si="4"/>
        <v>0</v>
      </c>
      <c r="M9" s="20">
        <f t="shared" si="5"/>
        <v>0</v>
      </c>
    </row>
    <row r="10" spans="1:13" ht="16.5" thickTop="1" thickBot="1" x14ac:dyDescent="0.3">
      <c r="A10" s="31">
        <v>7</v>
      </c>
      <c r="B10" s="32" t="s">
        <v>33</v>
      </c>
      <c r="C10" s="50">
        <v>3027103468</v>
      </c>
      <c r="D10" s="62">
        <f>'30'!L10</f>
        <v>0</v>
      </c>
      <c r="E10" s="63">
        <f t="shared" si="0"/>
        <v>0</v>
      </c>
      <c r="F10" s="27"/>
      <c r="G10" s="11">
        <f t="shared" si="1"/>
        <v>0</v>
      </c>
      <c r="H10" s="10">
        <f t="shared" si="2"/>
        <v>0</v>
      </c>
      <c r="I10" s="11">
        <f t="shared" si="2"/>
        <v>0</v>
      </c>
      <c r="J10" s="25"/>
      <c r="K10" s="18">
        <f t="shared" si="3"/>
        <v>0</v>
      </c>
      <c r="L10" s="13">
        <f t="shared" si="4"/>
        <v>0</v>
      </c>
      <c r="M10" s="20">
        <f t="shared" si="5"/>
        <v>0</v>
      </c>
    </row>
    <row r="11" spans="1:13" ht="16.5" thickTop="1" thickBot="1" x14ac:dyDescent="0.3">
      <c r="A11" s="31">
        <v>8</v>
      </c>
      <c r="B11" s="30" t="s">
        <v>43</v>
      </c>
      <c r="C11" s="50">
        <v>3030963707</v>
      </c>
      <c r="D11" s="62">
        <f>'30'!L11</f>
        <v>1000</v>
      </c>
      <c r="E11" s="63">
        <f t="shared" si="0"/>
        <v>1024</v>
      </c>
      <c r="F11" s="27"/>
      <c r="G11" s="11">
        <f t="shared" si="1"/>
        <v>0</v>
      </c>
      <c r="H11" s="10">
        <f t="shared" si="2"/>
        <v>1000</v>
      </c>
      <c r="I11" s="11">
        <f t="shared" si="2"/>
        <v>1024</v>
      </c>
      <c r="J11" s="25"/>
      <c r="K11" s="18">
        <f t="shared" si="3"/>
        <v>0</v>
      </c>
      <c r="L11" s="13">
        <f t="shared" si="4"/>
        <v>1000</v>
      </c>
      <c r="M11" s="20">
        <f t="shared" si="5"/>
        <v>1024</v>
      </c>
    </row>
    <row r="12" spans="1:13" ht="16.5" thickTop="1" thickBot="1" x14ac:dyDescent="0.3">
      <c r="A12" s="31">
        <v>9</v>
      </c>
      <c r="B12" s="32" t="s">
        <v>42</v>
      </c>
      <c r="C12" s="50">
        <v>3030964504</v>
      </c>
      <c r="D12" s="62">
        <f>'30'!L12</f>
        <v>0</v>
      </c>
      <c r="E12" s="63">
        <f t="shared" si="0"/>
        <v>0</v>
      </c>
      <c r="F12" s="27"/>
      <c r="G12" s="11">
        <f t="shared" si="1"/>
        <v>0</v>
      </c>
      <c r="H12" s="10">
        <f t="shared" si="2"/>
        <v>0</v>
      </c>
      <c r="I12" s="11">
        <f t="shared" si="2"/>
        <v>0</v>
      </c>
      <c r="J12" s="25"/>
      <c r="K12" s="18">
        <f t="shared" si="3"/>
        <v>0</v>
      </c>
      <c r="L12" s="13">
        <f t="shared" si="4"/>
        <v>0</v>
      </c>
      <c r="M12" s="20">
        <f t="shared" si="5"/>
        <v>0</v>
      </c>
    </row>
    <row r="13" spans="1:13" ht="16.5" thickTop="1" thickBot="1" x14ac:dyDescent="0.3">
      <c r="A13" s="31">
        <v>10</v>
      </c>
      <c r="B13" s="32"/>
      <c r="C13" s="50"/>
      <c r="D13" s="62">
        <f>'30'!L13</f>
        <v>0</v>
      </c>
      <c r="E13" s="63">
        <f t="shared" si="0"/>
        <v>0</v>
      </c>
      <c r="F13" s="27"/>
      <c r="G13" s="11">
        <f t="shared" si="1"/>
        <v>0</v>
      </c>
      <c r="H13" s="10">
        <f t="shared" si="2"/>
        <v>0</v>
      </c>
      <c r="I13" s="11">
        <f t="shared" si="2"/>
        <v>0</v>
      </c>
      <c r="J13" s="25"/>
      <c r="K13" s="18">
        <f t="shared" si="3"/>
        <v>0</v>
      </c>
      <c r="L13" s="13">
        <f t="shared" si="4"/>
        <v>0</v>
      </c>
      <c r="M13" s="20">
        <f t="shared" si="5"/>
        <v>0</v>
      </c>
    </row>
    <row r="14" spans="1:13" ht="16.5" thickTop="1" thickBot="1" x14ac:dyDescent="0.3">
      <c r="A14" s="31">
        <v>11</v>
      </c>
      <c r="B14" s="34"/>
      <c r="C14" s="50"/>
      <c r="D14" s="62">
        <f>'30'!L14</f>
        <v>0</v>
      </c>
      <c r="E14" s="63">
        <f t="shared" si="0"/>
        <v>0</v>
      </c>
      <c r="F14" s="27"/>
      <c r="G14" s="11">
        <f t="shared" si="1"/>
        <v>0</v>
      </c>
      <c r="H14" s="10">
        <f t="shared" si="2"/>
        <v>0</v>
      </c>
      <c r="I14" s="11">
        <f t="shared" si="2"/>
        <v>0</v>
      </c>
      <c r="J14" s="25"/>
      <c r="K14" s="18">
        <f t="shared" si="3"/>
        <v>0</v>
      </c>
      <c r="L14" s="13">
        <f t="shared" si="4"/>
        <v>0</v>
      </c>
      <c r="M14" s="20">
        <f t="shared" si="5"/>
        <v>0</v>
      </c>
    </row>
    <row r="15" spans="1:13" ht="16.5" thickTop="1" thickBot="1" x14ac:dyDescent="0.3">
      <c r="A15" s="31">
        <v>12</v>
      </c>
      <c r="B15" s="34"/>
      <c r="C15" s="50"/>
      <c r="D15" s="62">
        <f>'30'!L15</f>
        <v>0</v>
      </c>
      <c r="E15" s="63">
        <f t="shared" si="0"/>
        <v>0</v>
      </c>
      <c r="F15" s="27"/>
      <c r="G15" s="11">
        <f t="shared" si="1"/>
        <v>0</v>
      </c>
      <c r="H15" s="10">
        <f t="shared" si="2"/>
        <v>0</v>
      </c>
      <c r="I15" s="11">
        <f t="shared" si="2"/>
        <v>0</v>
      </c>
      <c r="J15" s="25"/>
      <c r="K15" s="18">
        <f t="shared" si="3"/>
        <v>0</v>
      </c>
      <c r="L15" s="13">
        <f t="shared" si="4"/>
        <v>0</v>
      </c>
      <c r="M15" s="20">
        <f t="shared" si="5"/>
        <v>0</v>
      </c>
    </row>
    <row r="16" spans="1:13" ht="16.5" thickTop="1" thickBot="1" x14ac:dyDescent="0.3">
      <c r="A16" s="31">
        <v>13</v>
      </c>
      <c r="B16" s="34"/>
      <c r="C16" s="50"/>
      <c r="D16" s="62">
        <f>'30'!L16</f>
        <v>0</v>
      </c>
      <c r="E16" s="63">
        <f t="shared" si="0"/>
        <v>0</v>
      </c>
      <c r="F16" s="27"/>
      <c r="G16" s="11">
        <f t="shared" si="1"/>
        <v>0</v>
      </c>
      <c r="H16" s="10">
        <f t="shared" si="2"/>
        <v>0</v>
      </c>
      <c r="I16" s="11">
        <f t="shared" si="2"/>
        <v>0</v>
      </c>
      <c r="J16" s="25"/>
      <c r="K16" s="18">
        <f t="shared" si="3"/>
        <v>0</v>
      </c>
      <c r="L16" s="13">
        <f t="shared" si="4"/>
        <v>0</v>
      </c>
      <c r="M16" s="20">
        <f t="shared" si="5"/>
        <v>0</v>
      </c>
    </row>
    <row r="17" spans="1:18" ht="16.5" thickTop="1" thickBot="1" x14ac:dyDescent="0.3">
      <c r="A17" s="33">
        <v>14</v>
      </c>
      <c r="B17" s="34" t="s">
        <v>17</v>
      </c>
      <c r="C17" s="50">
        <v>3027107343</v>
      </c>
      <c r="D17" s="62">
        <f>'30'!L17</f>
        <v>0</v>
      </c>
      <c r="E17" s="63">
        <f t="shared" si="0"/>
        <v>0</v>
      </c>
      <c r="F17" s="28"/>
      <c r="G17" s="11">
        <f t="shared" si="1"/>
        <v>0</v>
      </c>
      <c r="H17" s="14">
        <f t="shared" si="2"/>
        <v>0</v>
      </c>
      <c r="I17" s="15">
        <f t="shared" si="2"/>
        <v>0</v>
      </c>
      <c r="J17" s="36"/>
      <c r="K17" s="18">
        <f t="shared" si="3"/>
        <v>0</v>
      </c>
      <c r="L17" s="21">
        <f t="shared" si="4"/>
        <v>0</v>
      </c>
      <c r="M17" s="20">
        <f t="shared" si="5"/>
        <v>0</v>
      </c>
    </row>
    <row r="18" spans="1:18" ht="21.95" customHeight="1" thickTop="1" thickBot="1" x14ac:dyDescent="0.3">
      <c r="A18" s="107" t="s">
        <v>18</v>
      </c>
      <c r="B18" s="108"/>
      <c r="C18" s="108"/>
      <c r="D18" s="53">
        <f t="shared" ref="D18:M18" si="6">SUM(D4:D17)</f>
        <v>51000</v>
      </c>
      <c r="E18" s="53">
        <f t="shared" si="6"/>
        <v>52224</v>
      </c>
      <c r="F18" s="53">
        <f t="shared" si="6"/>
        <v>0</v>
      </c>
      <c r="G18" s="53">
        <f t="shared" si="6"/>
        <v>0</v>
      </c>
      <c r="H18" s="53">
        <f t="shared" si="6"/>
        <v>51000</v>
      </c>
      <c r="I18" s="53">
        <f t="shared" si="6"/>
        <v>52224</v>
      </c>
      <c r="J18" s="53">
        <f t="shared" si="6"/>
        <v>0</v>
      </c>
      <c r="K18" s="53">
        <f t="shared" si="6"/>
        <v>0</v>
      </c>
      <c r="L18" s="53">
        <f t="shared" si="6"/>
        <v>51000</v>
      </c>
      <c r="M18" s="54">
        <f t="shared" si="6"/>
        <v>52224</v>
      </c>
      <c r="N18" s="23">
        <f>K18*2.4/100</f>
        <v>0</v>
      </c>
      <c r="O18" s="74">
        <f>K18-N18</f>
        <v>0</v>
      </c>
      <c r="P18" s="74">
        <f>J18-O18</f>
        <v>0</v>
      </c>
      <c r="Q18" s="23"/>
      <c r="R18" s="23"/>
    </row>
    <row r="19" spans="1:18" x14ac:dyDescent="0.25">
      <c r="F19" s="19"/>
    </row>
    <row r="21" spans="1:18" ht="15.75" thickBot="1" x14ac:dyDescent="0.3"/>
    <row r="22" spans="1:18" s="2" customFormat="1" x14ac:dyDescent="0.25">
      <c r="A22" s="109" t="s">
        <v>22</v>
      </c>
      <c r="B22" s="110"/>
      <c r="C22" s="48" t="s">
        <v>20</v>
      </c>
      <c r="D22" s="100" t="s">
        <v>21</v>
      </c>
      <c r="E22" s="106"/>
      <c r="F22" s="100" t="s">
        <v>2</v>
      </c>
      <c r="G22" s="101"/>
      <c r="H22" s="100" t="s">
        <v>24</v>
      </c>
      <c r="I22" s="101"/>
      <c r="J22" s="100" t="s">
        <v>3</v>
      </c>
      <c r="K22" s="101"/>
    </row>
    <row r="23" spans="1:18" s="8" customFormat="1" ht="15.75" thickBot="1" x14ac:dyDescent="0.3">
      <c r="A23" s="116">
        <f>'30'!L23</f>
        <v>919682.04</v>
      </c>
      <c r="B23" s="117"/>
      <c r="C23" s="37"/>
      <c r="D23" s="114"/>
      <c r="E23" s="115"/>
      <c r="F23" s="98">
        <f>D23+C23+A23</f>
        <v>919682.04</v>
      </c>
      <c r="G23" s="99"/>
      <c r="H23" s="102">
        <f>G18</f>
        <v>0</v>
      </c>
      <c r="I23" s="99"/>
      <c r="J23" s="102">
        <f>F23-H23</f>
        <v>919682.04</v>
      </c>
      <c r="K23" s="99"/>
      <c r="L23" s="22">
        <f>J23</f>
        <v>919682.04</v>
      </c>
    </row>
    <row r="24" spans="1:18" ht="15.75" thickBot="1" x14ac:dyDescent="0.3"/>
    <row r="25" spans="1:18" ht="15" customHeight="1" x14ac:dyDescent="0.25">
      <c r="K25" s="92" t="s">
        <v>46</v>
      </c>
      <c r="L25" s="93"/>
      <c r="M25" s="38">
        <f>P18</f>
        <v>0</v>
      </c>
    </row>
    <row r="26" spans="1:18" ht="15.75" customHeight="1" thickBot="1" x14ac:dyDescent="0.3">
      <c r="J26" s="19"/>
      <c r="K26" s="94" t="s">
        <v>45</v>
      </c>
      <c r="L26" s="95"/>
      <c r="M26" s="39">
        <f>J18*1.16/100</f>
        <v>0</v>
      </c>
    </row>
    <row r="27" spans="1:18" ht="15.75" thickBot="1" x14ac:dyDescent="0.3">
      <c r="J27" s="19"/>
      <c r="K27" s="96" t="s">
        <v>32</v>
      </c>
      <c r="L27" s="97"/>
      <c r="M27" s="24">
        <f>M26+M25</f>
        <v>0</v>
      </c>
    </row>
  </sheetData>
  <mergeCells count="20">
    <mergeCell ref="L2:M2"/>
    <mergeCell ref="J22:K22"/>
    <mergeCell ref="A2:C2"/>
    <mergeCell ref="D2:E2"/>
    <mergeCell ref="F2:G2"/>
    <mergeCell ref="H2:I2"/>
    <mergeCell ref="J2:K2"/>
    <mergeCell ref="A18:C18"/>
    <mergeCell ref="A22:B22"/>
    <mergeCell ref="D22:E22"/>
    <mergeCell ref="F22:G22"/>
    <mergeCell ref="H22:I22"/>
    <mergeCell ref="K25:L25"/>
    <mergeCell ref="K26:L26"/>
    <mergeCell ref="K27:L27"/>
    <mergeCell ref="A23:B23"/>
    <mergeCell ref="D23:E23"/>
    <mergeCell ref="F23:G23"/>
    <mergeCell ref="H23:I23"/>
    <mergeCell ref="J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2026-09-01T13:32:22Z</dcterms:modified>
</cp:coreProperties>
</file>
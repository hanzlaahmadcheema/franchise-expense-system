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480"/>
  </bookViews>
  <sheets>
    <sheet name="Summary" sheetId="1" r:id="rId1"/>
    <sheet name="NAVEED BANGLA " sheetId="3" r:id="rId2"/>
    <sheet name="MIRZA" sheetId="4" r:id="rId3"/>
    <sheet name="ADNAN" sheetId="5" r:id="rId4"/>
    <sheet name="ARSLAN" sheetId="6" r:id="rId5"/>
    <sheet name="Mubashar " sheetId="7" r:id="rId6"/>
    <sheet name="NEW IRFAN " sheetId="8" r:id="rId7"/>
    <sheet name="HASSAN" sheetId="10" r:id="rId8"/>
    <sheet name="NAVEED" sheetId="9" r:id="rId9"/>
    <sheet name="IRFAN" sheetId="11" r:id="rId10"/>
    <sheet name="DSO NADEEM " sheetId="12" r:id="rId11"/>
    <sheet name="DSO HASAN" sheetId="13" r:id="rId12"/>
    <sheet name="DSO  2 " sheetId="14" r:id="rId13"/>
    <sheet name="SIM FREE " sheetId="15" r:id="rId14"/>
    <sheet name="SARAM  CS" sheetId="17" r:id="rId15"/>
    <sheet name="CCR HUSSAIN" sheetId="16" r:id="rId16"/>
    <sheet name="ANNIE CCR" sheetId="18" r:id="rId17"/>
    <sheet name="WASEEM GUJJAR" sheetId="19" r:id="rId18"/>
    <sheet name="ABDULLAH DSO " sheetId="20" r:id="rId19"/>
    <sheet name="DSO 1 " sheetId="21" r:id="rId20"/>
    <sheet name="NET STOCK " sheetId="22" r:id="rId21"/>
    <sheet name="MOBILE STOCK" sheetId="23" r:id="rId22"/>
    <sheet name="DSO" sheetId="24" r:id="rId23"/>
    <sheet name="Sheet1" sheetId="25" r:id="rId24"/>
    <sheet name="Sheet2" sheetId="26" r:id="rId25"/>
    <sheet name="Sheet3" sheetId="27" r:id="rId2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" i="24" l="1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W23" i="24"/>
  <c r="V23" i="24"/>
  <c r="U23" i="24"/>
  <c r="T23" i="24"/>
  <c r="N23" i="24"/>
  <c r="M23" i="24"/>
  <c r="W22" i="24"/>
  <c r="V22" i="24"/>
  <c r="U22" i="24"/>
  <c r="T22" i="24"/>
  <c r="N22" i="24"/>
  <c r="M22" i="24"/>
  <c r="W21" i="24"/>
  <c r="V21" i="24"/>
  <c r="U21" i="24"/>
  <c r="T21" i="24"/>
  <c r="N21" i="24"/>
  <c r="M21" i="24"/>
  <c r="W20" i="24"/>
  <c r="V20" i="24"/>
  <c r="U20" i="24"/>
  <c r="T20" i="24"/>
  <c r="N20" i="24"/>
  <c r="M20" i="24"/>
  <c r="W19" i="24"/>
  <c r="V19" i="24"/>
  <c r="U19" i="24"/>
  <c r="T19" i="24"/>
  <c r="N19" i="24"/>
  <c r="M19" i="24"/>
  <c r="W18" i="24"/>
  <c r="V18" i="24"/>
  <c r="U18" i="24"/>
  <c r="T18" i="24"/>
  <c r="N18" i="24"/>
  <c r="M18" i="24"/>
  <c r="W17" i="24"/>
  <c r="V17" i="24"/>
  <c r="U17" i="24"/>
  <c r="T17" i="24"/>
  <c r="N17" i="24"/>
  <c r="M17" i="24"/>
  <c r="W16" i="24"/>
  <c r="V16" i="24"/>
  <c r="U16" i="24"/>
  <c r="T16" i="24"/>
  <c r="N16" i="24"/>
  <c r="M16" i="24"/>
  <c r="W15" i="24"/>
  <c r="V15" i="24"/>
  <c r="U15" i="24"/>
  <c r="T15" i="24"/>
  <c r="N15" i="24"/>
  <c r="M15" i="24"/>
  <c r="W14" i="24"/>
  <c r="V14" i="24"/>
  <c r="U14" i="24"/>
  <c r="T14" i="24"/>
  <c r="N14" i="24"/>
  <c r="M14" i="24"/>
  <c r="W13" i="24"/>
  <c r="V13" i="24"/>
  <c r="U13" i="24"/>
  <c r="T13" i="24"/>
  <c r="N13" i="24"/>
  <c r="M13" i="24"/>
  <c r="W12" i="24"/>
  <c r="V12" i="24"/>
  <c r="U12" i="24"/>
  <c r="T12" i="24"/>
  <c r="N12" i="24"/>
  <c r="M12" i="24"/>
  <c r="W11" i="24"/>
  <c r="V11" i="24"/>
  <c r="U11" i="24"/>
  <c r="T11" i="24"/>
  <c r="N11" i="24"/>
  <c r="M11" i="24"/>
  <c r="W10" i="24"/>
  <c r="V10" i="24"/>
  <c r="U10" i="24"/>
  <c r="T10" i="24"/>
  <c r="N10" i="24"/>
  <c r="M10" i="24"/>
  <c r="W9" i="24"/>
  <c r="V9" i="24"/>
  <c r="U9" i="24"/>
  <c r="T9" i="24"/>
  <c r="N9" i="24"/>
  <c r="M9" i="24"/>
  <c r="W8" i="24"/>
  <c r="V8" i="24"/>
  <c r="U8" i="24"/>
  <c r="T8" i="24"/>
  <c r="N8" i="24"/>
  <c r="M8" i="24"/>
  <c r="W7" i="24"/>
  <c r="V7" i="24"/>
  <c r="U7" i="24"/>
  <c r="T7" i="24"/>
  <c r="N7" i="24"/>
  <c r="M7" i="24"/>
  <c r="W6" i="24"/>
  <c r="V6" i="24"/>
  <c r="U6" i="24"/>
  <c r="T6" i="24"/>
  <c r="N6" i="24"/>
  <c r="M6" i="24"/>
  <c r="W5" i="24"/>
  <c r="V5" i="24"/>
  <c r="U5" i="24"/>
  <c r="T5" i="24"/>
  <c r="N5" i="24"/>
  <c r="M5" i="24"/>
  <c r="W4" i="24"/>
  <c r="V4" i="24"/>
  <c r="U4" i="24"/>
  <c r="T4" i="24"/>
  <c r="N4" i="24"/>
  <c r="M4" i="24"/>
  <c r="W25" i="23"/>
  <c r="V25" i="23"/>
  <c r="U25" i="23"/>
  <c r="T25" i="23"/>
  <c r="S25" i="23"/>
  <c r="R25" i="23"/>
  <c r="Q25" i="23"/>
  <c r="P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W24" i="23"/>
  <c r="V24" i="23"/>
  <c r="U24" i="23"/>
  <c r="T24" i="23"/>
  <c r="N24" i="23"/>
  <c r="M24" i="23"/>
  <c r="W23" i="23"/>
  <c r="V23" i="23"/>
  <c r="U23" i="23"/>
  <c r="T23" i="23"/>
  <c r="N23" i="23"/>
  <c r="M23" i="23"/>
  <c r="W22" i="23"/>
  <c r="V22" i="23"/>
  <c r="U22" i="23"/>
  <c r="T22" i="23"/>
  <c r="N22" i="23"/>
  <c r="M22" i="23"/>
  <c r="W21" i="23"/>
  <c r="V21" i="23"/>
  <c r="U21" i="23"/>
  <c r="T21" i="23"/>
  <c r="N21" i="23"/>
  <c r="M21" i="23"/>
  <c r="W20" i="23"/>
  <c r="V20" i="23"/>
  <c r="U20" i="23"/>
  <c r="T20" i="23"/>
  <c r="N20" i="23"/>
  <c r="M20" i="23"/>
  <c r="W19" i="23"/>
  <c r="V19" i="23"/>
  <c r="U19" i="23"/>
  <c r="T19" i="23"/>
  <c r="N19" i="23"/>
  <c r="M19" i="23"/>
  <c r="W18" i="23"/>
  <c r="V18" i="23"/>
  <c r="U18" i="23"/>
  <c r="T18" i="23"/>
  <c r="N18" i="23"/>
  <c r="M18" i="23"/>
  <c r="W17" i="23"/>
  <c r="V17" i="23"/>
  <c r="U17" i="23"/>
  <c r="T17" i="23"/>
  <c r="N17" i="23"/>
  <c r="M17" i="23"/>
  <c r="W16" i="23"/>
  <c r="V16" i="23"/>
  <c r="U16" i="23"/>
  <c r="T16" i="23"/>
  <c r="N16" i="23"/>
  <c r="M16" i="23"/>
  <c r="W15" i="23"/>
  <c r="V15" i="23"/>
  <c r="U15" i="23"/>
  <c r="T15" i="23"/>
  <c r="N15" i="23"/>
  <c r="M15" i="23"/>
  <c r="W14" i="23"/>
  <c r="V14" i="23"/>
  <c r="U14" i="23"/>
  <c r="T14" i="23"/>
  <c r="N14" i="23"/>
  <c r="M14" i="23"/>
  <c r="W13" i="23"/>
  <c r="V13" i="23"/>
  <c r="U13" i="23"/>
  <c r="T13" i="23"/>
  <c r="N13" i="23"/>
  <c r="M13" i="23"/>
  <c r="W12" i="23"/>
  <c r="V12" i="23"/>
  <c r="U12" i="23"/>
  <c r="T12" i="23"/>
  <c r="N12" i="23"/>
  <c r="M12" i="23"/>
  <c r="W11" i="23"/>
  <c r="V11" i="23"/>
  <c r="U11" i="23"/>
  <c r="T11" i="23"/>
  <c r="N11" i="23"/>
  <c r="M11" i="23"/>
  <c r="W10" i="23"/>
  <c r="V10" i="23"/>
  <c r="U10" i="23"/>
  <c r="T10" i="23"/>
  <c r="N10" i="23"/>
  <c r="M10" i="23"/>
  <c r="W9" i="23"/>
  <c r="V9" i="23"/>
  <c r="U9" i="23"/>
  <c r="T9" i="23"/>
  <c r="N9" i="23"/>
  <c r="M9" i="23"/>
  <c r="W8" i="23"/>
  <c r="V8" i="23"/>
  <c r="U8" i="23"/>
  <c r="T8" i="23"/>
  <c r="N8" i="23"/>
  <c r="M8" i="23"/>
  <c r="W7" i="23"/>
  <c r="V7" i="23"/>
  <c r="U7" i="23"/>
  <c r="T7" i="23"/>
  <c r="N7" i="23"/>
  <c r="M7" i="23"/>
  <c r="W6" i="23"/>
  <c r="V6" i="23"/>
  <c r="U6" i="23"/>
  <c r="T6" i="23"/>
  <c r="N6" i="23"/>
  <c r="M6" i="23"/>
  <c r="W5" i="23"/>
  <c r="V5" i="23"/>
  <c r="U5" i="23"/>
  <c r="T5" i="23"/>
  <c r="N5" i="23"/>
  <c r="M5" i="23"/>
  <c r="S25" i="22"/>
  <c r="R25" i="22"/>
  <c r="Q25" i="22"/>
  <c r="P25" i="22"/>
  <c r="L25" i="22"/>
  <c r="K25" i="22"/>
  <c r="J25" i="22"/>
  <c r="I25" i="22"/>
  <c r="H25" i="22"/>
  <c r="G25" i="22"/>
  <c r="F25" i="22"/>
  <c r="E25" i="22"/>
  <c r="D25" i="22"/>
  <c r="C25" i="22"/>
  <c r="B25" i="22"/>
  <c r="W24" i="22"/>
  <c r="V24" i="22"/>
  <c r="U24" i="22"/>
  <c r="T24" i="22"/>
  <c r="N24" i="22"/>
  <c r="M24" i="22"/>
  <c r="W23" i="22"/>
  <c r="V23" i="22"/>
  <c r="U23" i="22"/>
  <c r="T23" i="22"/>
  <c r="N23" i="22"/>
  <c r="M23" i="22"/>
  <c r="W22" i="22"/>
  <c r="V22" i="22"/>
  <c r="U22" i="22"/>
  <c r="T22" i="22"/>
  <c r="N22" i="22"/>
  <c r="M22" i="22"/>
  <c r="W21" i="22"/>
  <c r="V21" i="22"/>
  <c r="U21" i="22"/>
  <c r="T21" i="22"/>
  <c r="N21" i="22"/>
  <c r="M21" i="22"/>
  <c r="V20" i="22"/>
  <c r="T20" i="22"/>
  <c r="N20" i="22"/>
  <c r="U20" i="22" s="1"/>
  <c r="W20" i="22" s="1"/>
  <c r="M20" i="22"/>
  <c r="V19" i="22"/>
  <c r="U19" i="22"/>
  <c r="W19" i="22" s="1"/>
  <c r="T19" i="22"/>
  <c r="N19" i="22"/>
  <c r="M19" i="22"/>
  <c r="V18" i="22"/>
  <c r="T18" i="22"/>
  <c r="N18" i="22"/>
  <c r="U18" i="22" s="1"/>
  <c r="W18" i="22" s="1"/>
  <c r="M18" i="22"/>
  <c r="V17" i="22"/>
  <c r="U17" i="22"/>
  <c r="W17" i="22" s="1"/>
  <c r="T17" i="22"/>
  <c r="N17" i="22"/>
  <c r="M17" i="22"/>
  <c r="V16" i="22"/>
  <c r="W16" i="22" s="1"/>
  <c r="U16" i="22"/>
  <c r="T16" i="22"/>
  <c r="N16" i="22"/>
  <c r="M16" i="22"/>
  <c r="T15" i="22"/>
  <c r="V15" i="22" s="1"/>
  <c r="N15" i="22"/>
  <c r="U15" i="22" s="1"/>
  <c r="M15" i="22"/>
  <c r="T14" i="22"/>
  <c r="V14" i="22" s="1"/>
  <c r="N14" i="22"/>
  <c r="U14" i="22" s="1"/>
  <c r="M14" i="22"/>
  <c r="T13" i="22"/>
  <c r="V13" i="22" s="1"/>
  <c r="N13" i="22"/>
  <c r="M13" i="22"/>
  <c r="T12" i="22"/>
  <c r="V12" i="22" s="1"/>
  <c r="N12" i="22"/>
  <c r="U12" i="22" s="1"/>
  <c r="M12" i="22"/>
  <c r="V11" i="22"/>
  <c r="T11" i="22"/>
  <c r="N11" i="22"/>
  <c r="U11" i="22" s="1"/>
  <c r="M11" i="22"/>
  <c r="T10" i="22"/>
  <c r="V10" i="22" s="1"/>
  <c r="N10" i="22"/>
  <c r="U10" i="22" s="1"/>
  <c r="M10" i="22"/>
  <c r="V9" i="22"/>
  <c r="T9" i="22"/>
  <c r="N9" i="22"/>
  <c r="U9" i="22" s="1"/>
  <c r="M9" i="22"/>
  <c r="T8" i="22"/>
  <c r="V8" i="22" s="1"/>
  <c r="N8" i="22"/>
  <c r="U8" i="22" s="1"/>
  <c r="M8" i="22"/>
  <c r="T7" i="22"/>
  <c r="V7" i="22" s="1"/>
  <c r="N7" i="22"/>
  <c r="U7" i="22" s="1"/>
  <c r="M7" i="22"/>
  <c r="V6" i="22"/>
  <c r="U6" i="22"/>
  <c r="T6" i="22"/>
  <c r="N6" i="22"/>
  <c r="M6" i="22"/>
  <c r="T5" i="22"/>
  <c r="N5" i="22"/>
  <c r="U5" i="22" s="1"/>
  <c r="M5" i="22"/>
  <c r="W25" i="21"/>
  <c r="V25" i="21"/>
  <c r="U25" i="21"/>
  <c r="T25" i="21"/>
  <c r="S25" i="21"/>
  <c r="R25" i="21"/>
  <c r="Q25" i="21"/>
  <c r="P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W24" i="21"/>
  <c r="V24" i="21"/>
  <c r="U24" i="21"/>
  <c r="T24" i="21"/>
  <c r="N24" i="21"/>
  <c r="M24" i="21"/>
  <c r="W23" i="21"/>
  <c r="V23" i="21"/>
  <c r="U23" i="21"/>
  <c r="T23" i="21"/>
  <c r="N23" i="21"/>
  <c r="M23" i="21"/>
  <c r="W22" i="21"/>
  <c r="V22" i="21"/>
  <c r="U22" i="21"/>
  <c r="T22" i="21"/>
  <c r="N22" i="21"/>
  <c r="M22" i="21"/>
  <c r="W21" i="21"/>
  <c r="V21" i="21"/>
  <c r="U21" i="21"/>
  <c r="T21" i="21"/>
  <c r="N21" i="21"/>
  <c r="M21" i="21"/>
  <c r="W20" i="21"/>
  <c r="V20" i="21"/>
  <c r="U20" i="21"/>
  <c r="T20" i="21"/>
  <c r="N20" i="21"/>
  <c r="M20" i="21"/>
  <c r="W19" i="21"/>
  <c r="V19" i="21"/>
  <c r="U19" i="21"/>
  <c r="T19" i="21"/>
  <c r="N19" i="21"/>
  <c r="M19" i="21"/>
  <c r="W18" i="21"/>
  <c r="V18" i="21"/>
  <c r="U18" i="21"/>
  <c r="T18" i="21"/>
  <c r="N18" i="21"/>
  <c r="M18" i="21"/>
  <c r="W17" i="21"/>
  <c r="V17" i="21"/>
  <c r="U17" i="21"/>
  <c r="T17" i="21"/>
  <c r="N17" i="21"/>
  <c r="M17" i="21"/>
  <c r="W16" i="21"/>
  <c r="V16" i="21"/>
  <c r="U16" i="21"/>
  <c r="T16" i="21"/>
  <c r="N16" i="21"/>
  <c r="M16" i="21"/>
  <c r="W15" i="21"/>
  <c r="V15" i="21"/>
  <c r="U15" i="21"/>
  <c r="T15" i="21"/>
  <c r="N15" i="21"/>
  <c r="M15" i="21"/>
  <c r="W14" i="21"/>
  <c r="V14" i="21"/>
  <c r="U14" i="21"/>
  <c r="T14" i="21"/>
  <c r="N14" i="21"/>
  <c r="M14" i="21"/>
  <c r="W13" i="21"/>
  <c r="V13" i="21"/>
  <c r="U13" i="21"/>
  <c r="T13" i="21"/>
  <c r="N13" i="21"/>
  <c r="M13" i="21"/>
  <c r="W12" i="21"/>
  <c r="V12" i="21"/>
  <c r="U12" i="21"/>
  <c r="T12" i="21"/>
  <c r="N12" i="21"/>
  <c r="M12" i="21"/>
  <c r="W11" i="21"/>
  <c r="V11" i="21"/>
  <c r="U11" i="21"/>
  <c r="T11" i="21"/>
  <c r="N11" i="21"/>
  <c r="M11" i="21"/>
  <c r="W10" i="21"/>
  <c r="V10" i="21"/>
  <c r="U10" i="21"/>
  <c r="T10" i="21"/>
  <c r="N10" i="21"/>
  <c r="M10" i="21"/>
  <c r="W9" i="21"/>
  <c r="V9" i="21"/>
  <c r="U9" i="21"/>
  <c r="T9" i="21"/>
  <c r="N9" i="21"/>
  <c r="M9" i="21"/>
  <c r="W8" i="21"/>
  <c r="V8" i="21"/>
  <c r="U8" i="21"/>
  <c r="T8" i="21"/>
  <c r="N8" i="21"/>
  <c r="M8" i="21"/>
  <c r="W7" i="21"/>
  <c r="V7" i="21"/>
  <c r="U7" i="21"/>
  <c r="T7" i="21"/>
  <c r="N7" i="21"/>
  <c r="M7" i="21"/>
  <c r="W6" i="21"/>
  <c r="V6" i="21"/>
  <c r="U6" i="21"/>
  <c r="T6" i="21"/>
  <c r="N6" i="21"/>
  <c r="M6" i="21"/>
  <c r="W5" i="21"/>
  <c r="V5" i="21"/>
  <c r="U5" i="21"/>
  <c r="T5" i="21"/>
  <c r="N5" i="21"/>
  <c r="M5" i="21"/>
  <c r="L25" i="20"/>
  <c r="K25" i="20"/>
  <c r="J25" i="20"/>
  <c r="I25" i="20"/>
  <c r="H25" i="20"/>
  <c r="G25" i="20"/>
  <c r="F25" i="20"/>
  <c r="E25" i="20"/>
  <c r="D25" i="20"/>
  <c r="C25" i="20"/>
  <c r="B25" i="20"/>
  <c r="W24" i="20"/>
  <c r="V24" i="20"/>
  <c r="U24" i="20"/>
  <c r="T24" i="20"/>
  <c r="N24" i="20"/>
  <c r="M24" i="20"/>
  <c r="W23" i="20"/>
  <c r="V23" i="20"/>
  <c r="U23" i="20"/>
  <c r="T23" i="20"/>
  <c r="N23" i="20"/>
  <c r="M23" i="20"/>
  <c r="W22" i="20"/>
  <c r="V22" i="20"/>
  <c r="U22" i="20"/>
  <c r="T22" i="20"/>
  <c r="N22" i="20"/>
  <c r="M22" i="20"/>
  <c r="W21" i="20"/>
  <c r="V21" i="20"/>
  <c r="U21" i="20"/>
  <c r="T21" i="20"/>
  <c r="N21" i="20"/>
  <c r="M21" i="20"/>
  <c r="W20" i="20"/>
  <c r="V20" i="20"/>
  <c r="U20" i="20"/>
  <c r="T20" i="20"/>
  <c r="N20" i="20"/>
  <c r="M20" i="20"/>
  <c r="W19" i="20"/>
  <c r="V19" i="20"/>
  <c r="U19" i="20"/>
  <c r="T19" i="20"/>
  <c r="N19" i="20"/>
  <c r="M19" i="20"/>
  <c r="W18" i="20"/>
  <c r="V18" i="20"/>
  <c r="U18" i="20"/>
  <c r="T18" i="20"/>
  <c r="N18" i="20"/>
  <c r="M18" i="20"/>
  <c r="W17" i="20"/>
  <c r="V17" i="20"/>
  <c r="U17" i="20"/>
  <c r="T17" i="20"/>
  <c r="N17" i="20"/>
  <c r="M17" i="20"/>
  <c r="W16" i="20"/>
  <c r="V16" i="20"/>
  <c r="U16" i="20"/>
  <c r="T16" i="20"/>
  <c r="N16" i="20"/>
  <c r="M16" i="20"/>
  <c r="W15" i="20"/>
  <c r="V15" i="20"/>
  <c r="U15" i="20"/>
  <c r="T15" i="20"/>
  <c r="N15" i="20"/>
  <c r="M15" i="20"/>
  <c r="W14" i="20"/>
  <c r="V14" i="20"/>
  <c r="U14" i="20"/>
  <c r="T14" i="20"/>
  <c r="N14" i="20"/>
  <c r="M14" i="20"/>
  <c r="W13" i="20"/>
  <c r="V13" i="20"/>
  <c r="U13" i="20"/>
  <c r="T13" i="20"/>
  <c r="N13" i="20"/>
  <c r="M13" i="20"/>
  <c r="W12" i="20"/>
  <c r="V12" i="20"/>
  <c r="U12" i="20"/>
  <c r="T12" i="20"/>
  <c r="N12" i="20"/>
  <c r="M12" i="20"/>
  <c r="W11" i="20"/>
  <c r="V11" i="20"/>
  <c r="U11" i="20"/>
  <c r="T11" i="20"/>
  <c r="N11" i="20"/>
  <c r="M11" i="20"/>
  <c r="W10" i="20"/>
  <c r="V10" i="20"/>
  <c r="U10" i="20"/>
  <c r="T10" i="20"/>
  <c r="N10" i="20"/>
  <c r="M10" i="20"/>
  <c r="W9" i="20"/>
  <c r="V9" i="20"/>
  <c r="U9" i="20"/>
  <c r="T9" i="20"/>
  <c r="N9" i="20"/>
  <c r="M9" i="20"/>
  <c r="W8" i="20"/>
  <c r="V8" i="20"/>
  <c r="U8" i="20"/>
  <c r="T8" i="20"/>
  <c r="N8" i="20"/>
  <c r="M8" i="20"/>
  <c r="V7" i="20"/>
  <c r="T7" i="20"/>
  <c r="N7" i="20"/>
  <c r="U7" i="20" s="1"/>
  <c r="W7" i="20" s="1"/>
  <c r="M7" i="20"/>
  <c r="V6" i="20"/>
  <c r="U6" i="20"/>
  <c r="W6" i="20" s="1"/>
  <c r="T6" i="20"/>
  <c r="N6" i="20"/>
  <c r="M6" i="20"/>
  <c r="V5" i="20"/>
  <c r="T5" i="20"/>
  <c r="T25" i="20" s="1"/>
  <c r="N5" i="20"/>
  <c r="N25" i="20" s="1"/>
  <c r="M5" i="20"/>
  <c r="M25" i="20" s="1"/>
  <c r="W25" i="19"/>
  <c r="V25" i="19"/>
  <c r="U25" i="19"/>
  <c r="T25" i="19"/>
  <c r="S25" i="19"/>
  <c r="R25" i="19"/>
  <c r="Q25" i="19"/>
  <c r="P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W24" i="19"/>
  <c r="V24" i="19"/>
  <c r="U24" i="19"/>
  <c r="T24" i="19"/>
  <c r="N24" i="19"/>
  <c r="M24" i="19"/>
  <c r="W23" i="19"/>
  <c r="V23" i="19"/>
  <c r="U23" i="19"/>
  <c r="T23" i="19"/>
  <c r="N23" i="19"/>
  <c r="M23" i="19"/>
  <c r="W22" i="19"/>
  <c r="V22" i="19"/>
  <c r="U22" i="19"/>
  <c r="T22" i="19"/>
  <c r="N22" i="19"/>
  <c r="M22" i="19"/>
  <c r="W21" i="19"/>
  <c r="V21" i="19"/>
  <c r="U21" i="19"/>
  <c r="T21" i="19"/>
  <c r="N21" i="19"/>
  <c r="M21" i="19"/>
  <c r="W20" i="19"/>
  <c r="V20" i="19"/>
  <c r="U20" i="19"/>
  <c r="T20" i="19"/>
  <c r="N20" i="19"/>
  <c r="M20" i="19"/>
  <c r="W19" i="19"/>
  <c r="V19" i="19"/>
  <c r="U19" i="19"/>
  <c r="T19" i="19"/>
  <c r="N19" i="19"/>
  <c r="M19" i="19"/>
  <c r="W18" i="19"/>
  <c r="V18" i="19"/>
  <c r="U18" i="19"/>
  <c r="T18" i="19"/>
  <c r="N18" i="19"/>
  <c r="M18" i="19"/>
  <c r="W17" i="19"/>
  <c r="V17" i="19"/>
  <c r="U17" i="19"/>
  <c r="T17" i="19"/>
  <c r="N17" i="19"/>
  <c r="M17" i="19"/>
  <c r="W16" i="19"/>
  <c r="V16" i="19"/>
  <c r="U16" i="19"/>
  <c r="T16" i="19"/>
  <c r="N16" i="19"/>
  <c r="M16" i="19"/>
  <c r="W15" i="19"/>
  <c r="V15" i="19"/>
  <c r="U15" i="19"/>
  <c r="T15" i="19"/>
  <c r="N15" i="19"/>
  <c r="M15" i="19"/>
  <c r="W14" i="19"/>
  <c r="V14" i="19"/>
  <c r="U14" i="19"/>
  <c r="T14" i="19"/>
  <c r="N14" i="19"/>
  <c r="M14" i="19"/>
  <c r="W13" i="19"/>
  <c r="V13" i="19"/>
  <c r="U13" i="19"/>
  <c r="T13" i="19"/>
  <c r="N13" i="19"/>
  <c r="M13" i="19"/>
  <c r="W12" i="19"/>
  <c r="V12" i="19"/>
  <c r="U12" i="19"/>
  <c r="T12" i="19"/>
  <c r="N12" i="19"/>
  <c r="M12" i="19"/>
  <c r="W11" i="19"/>
  <c r="V11" i="19"/>
  <c r="U11" i="19"/>
  <c r="T11" i="19"/>
  <c r="N11" i="19"/>
  <c r="M11" i="19"/>
  <c r="W10" i="19"/>
  <c r="V10" i="19"/>
  <c r="U10" i="19"/>
  <c r="T10" i="19"/>
  <c r="N10" i="19"/>
  <c r="M10" i="19"/>
  <c r="W9" i="19"/>
  <c r="V9" i="19"/>
  <c r="U9" i="19"/>
  <c r="T9" i="19"/>
  <c r="N9" i="19"/>
  <c r="M9" i="19"/>
  <c r="W8" i="19"/>
  <c r="V8" i="19"/>
  <c r="U8" i="19"/>
  <c r="T8" i="19"/>
  <c r="N8" i="19"/>
  <c r="M8" i="19"/>
  <c r="W7" i="19"/>
  <c r="V7" i="19"/>
  <c r="U7" i="19"/>
  <c r="T7" i="19"/>
  <c r="N7" i="19"/>
  <c r="M7" i="19"/>
  <c r="W6" i="19"/>
  <c r="V6" i="19"/>
  <c r="U6" i="19"/>
  <c r="T6" i="19"/>
  <c r="N6" i="19"/>
  <c r="M6" i="19"/>
  <c r="W5" i="19"/>
  <c r="V5" i="19"/>
  <c r="U5" i="19"/>
  <c r="T5" i="19"/>
  <c r="N5" i="19"/>
  <c r="M5" i="19"/>
  <c r="S34" i="18"/>
  <c r="R34" i="18"/>
  <c r="Q34" i="18"/>
  <c r="P34" i="18"/>
  <c r="L34" i="18"/>
  <c r="K34" i="18"/>
  <c r="J34" i="18"/>
  <c r="J19" i="1" s="1"/>
  <c r="I34" i="18"/>
  <c r="H34" i="18"/>
  <c r="G34" i="18"/>
  <c r="F34" i="18"/>
  <c r="E34" i="18"/>
  <c r="D34" i="18"/>
  <c r="C34" i="18"/>
  <c r="B34" i="18"/>
  <c r="W33" i="18"/>
  <c r="V33" i="18"/>
  <c r="U33" i="18"/>
  <c r="T33" i="18"/>
  <c r="N33" i="18"/>
  <c r="M33" i="18"/>
  <c r="W32" i="18"/>
  <c r="V32" i="18"/>
  <c r="U32" i="18"/>
  <c r="T32" i="18"/>
  <c r="N32" i="18"/>
  <c r="M32" i="18"/>
  <c r="W31" i="18"/>
  <c r="V31" i="18"/>
  <c r="U31" i="18"/>
  <c r="T31" i="18"/>
  <c r="N31" i="18"/>
  <c r="M31" i="18"/>
  <c r="U30" i="18"/>
  <c r="T30" i="18"/>
  <c r="V30" i="18" s="1"/>
  <c r="W30" i="18" s="1"/>
  <c r="N30" i="18"/>
  <c r="M30" i="18"/>
  <c r="V29" i="18"/>
  <c r="T29" i="18"/>
  <c r="N29" i="18"/>
  <c r="U29" i="18" s="1"/>
  <c r="W29" i="18" s="1"/>
  <c r="M29" i="18"/>
  <c r="T28" i="18"/>
  <c r="V28" i="18" s="1"/>
  <c r="N28" i="18"/>
  <c r="U28" i="18" s="1"/>
  <c r="M28" i="18"/>
  <c r="V27" i="18"/>
  <c r="T27" i="18"/>
  <c r="N27" i="18"/>
  <c r="U27" i="18" s="1"/>
  <c r="M27" i="18"/>
  <c r="T26" i="18"/>
  <c r="V26" i="18" s="1"/>
  <c r="N26" i="18"/>
  <c r="U26" i="18" s="1"/>
  <c r="M26" i="18"/>
  <c r="T25" i="18"/>
  <c r="V25" i="18" s="1"/>
  <c r="N25" i="18"/>
  <c r="U25" i="18" s="1"/>
  <c r="M25" i="18"/>
  <c r="T24" i="18"/>
  <c r="N24" i="18"/>
  <c r="M24" i="18"/>
  <c r="V23" i="18"/>
  <c r="U23" i="18"/>
  <c r="W23" i="18" s="1"/>
  <c r="T23" i="18"/>
  <c r="N23" i="18"/>
  <c r="M23" i="18"/>
  <c r="U22" i="18"/>
  <c r="T22" i="18"/>
  <c r="V22" i="18" s="1"/>
  <c r="N22" i="18"/>
  <c r="M22" i="18"/>
  <c r="V21" i="18"/>
  <c r="T21" i="18"/>
  <c r="N21" i="18"/>
  <c r="U21" i="18" s="1"/>
  <c r="W21" i="18" s="1"/>
  <c r="M21" i="18"/>
  <c r="T20" i="18"/>
  <c r="V20" i="18" s="1"/>
  <c r="N20" i="18"/>
  <c r="U20" i="18" s="1"/>
  <c r="M20" i="18"/>
  <c r="V19" i="18"/>
  <c r="U19" i="18"/>
  <c r="W19" i="18" s="1"/>
  <c r="T19" i="18"/>
  <c r="N19" i="18"/>
  <c r="M19" i="18"/>
  <c r="U18" i="18"/>
  <c r="T18" i="18"/>
  <c r="V18" i="18" s="1"/>
  <c r="N18" i="18"/>
  <c r="M18" i="18"/>
  <c r="V17" i="18"/>
  <c r="T17" i="18"/>
  <c r="N17" i="18"/>
  <c r="U17" i="18" s="1"/>
  <c r="W17" i="18" s="1"/>
  <c r="M17" i="18"/>
  <c r="T16" i="18"/>
  <c r="V16" i="18" s="1"/>
  <c r="N16" i="18"/>
  <c r="U16" i="18" s="1"/>
  <c r="M16" i="18"/>
  <c r="V15" i="18"/>
  <c r="U15" i="18"/>
  <c r="W15" i="18" s="1"/>
  <c r="T15" i="18"/>
  <c r="N15" i="18"/>
  <c r="M15" i="18"/>
  <c r="U14" i="18"/>
  <c r="T14" i="18"/>
  <c r="V14" i="18" s="1"/>
  <c r="N14" i="18"/>
  <c r="M14" i="18"/>
  <c r="V13" i="18"/>
  <c r="T13" i="18"/>
  <c r="N13" i="18"/>
  <c r="U13" i="18" s="1"/>
  <c r="W13" i="18" s="1"/>
  <c r="M13" i="18"/>
  <c r="T12" i="18"/>
  <c r="V12" i="18" s="1"/>
  <c r="N12" i="18"/>
  <c r="U12" i="18" s="1"/>
  <c r="M12" i="18"/>
  <c r="V11" i="18"/>
  <c r="U11" i="18"/>
  <c r="W11" i="18" s="1"/>
  <c r="T11" i="18"/>
  <c r="N11" i="18"/>
  <c r="M11" i="18"/>
  <c r="U10" i="18"/>
  <c r="T10" i="18"/>
  <c r="V10" i="18" s="1"/>
  <c r="N10" i="18"/>
  <c r="M10" i="18"/>
  <c r="V9" i="18"/>
  <c r="T9" i="18"/>
  <c r="N9" i="18"/>
  <c r="U9" i="18" s="1"/>
  <c r="W9" i="18" s="1"/>
  <c r="M9" i="18"/>
  <c r="T8" i="18"/>
  <c r="V8" i="18" s="1"/>
  <c r="N8" i="18"/>
  <c r="U8" i="18" s="1"/>
  <c r="M8" i="18"/>
  <c r="V7" i="18"/>
  <c r="U7" i="18"/>
  <c r="W7" i="18" s="1"/>
  <c r="T7" i="18"/>
  <c r="N7" i="18"/>
  <c r="M7" i="18"/>
  <c r="U6" i="18"/>
  <c r="T6" i="18"/>
  <c r="V6" i="18" s="1"/>
  <c r="N6" i="18"/>
  <c r="M6" i="18"/>
  <c r="V5" i="18"/>
  <c r="T5" i="18"/>
  <c r="N5" i="18"/>
  <c r="U5" i="18" s="1"/>
  <c r="W5" i="18" s="1"/>
  <c r="M5" i="18"/>
  <c r="T4" i="18"/>
  <c r="V4" i="18" s="1"/>
  <c r="N4" i="18"/>
  <c r="U4" i="18" s="1"/>
  <c r="M4" i="18"/>
  <c r="S35" i="16"/>
  <c r="R35" i="16"/>
  <c r="Q35" i="16"/>
  <c r="P35" i="16"/>
  <c r="L35" i="16"/>
  <c r="K35" i="16"/>
  <c r="J35" i="16"/>
  <c r="I35" i="16"/>
  <c r="H35" i="16"/>
  <c r="G35" i="16"/>
  <c r="F35" i="16"/>
  <c r="E35" i="16"/>
  <c r="D35" i="16"/>
  <c r="C35" i="16"/>
  <c r="B35" i="16"/>
  <c r="W34" i="16"/>
  <c r="V34" i="16"/>
  <c r="U34" i="16"/>
  <c r="T34" i="16"/>
  <c r="N34" i="16"/>
  <c r="M34" i="16"/>
  <c r="W33" i="16"/>
  <c r="V33" i="16"/>
  <c r="U33" i="16"/>
  <c r="T33" i="16"/>
  <c r="N33" i="16"/>
  <c r="M33" i="16"/>
  <c r="W32" i="16"/>
  <c r="V32" i="16"/>
  <c r="U32" i="16"/>
  <c r="T32" i="16"/>
  <c r="N32" i="16"/>
  <c r="M32" i="16"/>
  <c r="W31" i="16"/>
  <c r="V31" i="16"/>
  <c r="U31" i="16"/>
  <c r="T31" i="16"/>
  <c r="N31" i="16"/>
  <c r="M31" i="16"/>
  <c r="W30" i="16"/>
  <c r="V30" i="16"/>
  <c r="U30" i="16"/>
  <c r="T30" i="16"/>
  <c r="N30" i="16"/>
  <c r="M30" i="16"/>
  <c r="W29" i="16"/>
  <c r="V29" i="16"/>
  <c r="U29" i="16"/>
  <c r="T29" i="16"/>
  <c r="N29" i="16"/>
  <c r="M29" i="16"/>
  <c r="U28" i="16"/>
  <c r="T28" i="16"/>
  <c r="V28" i="16" s="1"/>
  <c r="W28" i="16" s="1"/>
  <c r="N28" i="16"/>
  <c r="M28" i="16"/>
  <c r="V27" i="16"/>
  <c r="W27" i="16" s="1"/>
  <c r="U27" i="16"/>
  <c r="T27" i="16"/>
  <c r="N27" i="16"/>
  <c r="M27" i="16"/>
  <c r="T26" i="16"/>
  <c r="V26" i="16" s="1"/>
  <c r="N26" i="16"/>
  <c r="U26" i="16" s="1"/>
  <c r="M26" i="16"/>
  <c r="T25" i="16"/>
  <c r="V25" i="16" s="1"/>
  <c r="N25" i="16"/>
  <c r="M25" i="16"/>
  <c r="T24" i="16"/>
  <c r="N24" i="16"/>
  <c r="U24" i="16" s="1"/>
  <c r="M24" i="16"/>
  <c r="V23" i="16"/>
  <c r="W23" i="16" s="1"/>
  <c r="U23" i="16"/>
  <c r="T23" i="16"/>
  <c r="N23" i="16"/>
  <c r="M23" i="16"/>
  <c r="U22" i="16"/>
  <c r="T22" i="16"/>
  <c r="V22" i="16" s="1"/>
  <c r="W22" i="16" s="1"/>
  <c r="N22" i="16"/>
  <c r="M22" i="16"/>
  <c r="V21" i="16"/>
  <c r="U21" i="16"/>
  <c r="T21" i="16"/>
  <c r="N21" i="16"/>
  <c r="M21" i="16"/>
  <c r="T20" i="16"/>
  <c r="V20" i="16" s="1"/>
  <c r="N20" i="16"/>
  <c r="U20" i="16" s="1"/>
  <c r="M20" i="16"/>
  <c r="V19" i="16"/>
  <c r="T19" i="16"/>
  <c r="N19" i="16"/>
  <c r="U19" i="16" s="1"/>
  <c r="M19" i="16"/>
  <c r="T18" i="16"/>
  <c r="V18" i="16" s="1"/>
  <c r="N18" i="16"/>
  <c r="U18" i="16" s="1"/>
  <c r="M18" i="16"/>
  <c r="V17" i="16"/>
  <c r="T17" i="16"/>
  <c r="N17" i="16"/>
  <c r="U17" i="16" s="1"/>
  <c r="M17" i="16"/>
  <c r="T16" i="16"/>
  <c r="V16" i="16" s="1"/>
  <c r="N16" i="16"/>
  <c r="U16" i="16" s="1"/>
  <c r="M16" i="16"/>
  <c r="V15" i="16"/>
  <c r="W15" i="16" s="1"/>
  <c r="U15" i="16"/>
  <c r="T15" i="16"/>
  <c r="N15" i="16"/>
  <c r="M15" i="16"/>
  <c r="U14" i="16"/>
  <c r="T14" i="16"/>
  <c r="V14" i="16" s="1"/>
  <c r="W14" i="16" s="1"/>
  <c r="N14" i="16"/>
  <c r="M14" i="16"/>
  <c r="V13" i="16"/>
  <c r="U13" i="16"/>
  <c r="T13" i="16"/>
  <c r="N13" i="16"/>
  <c r="M13" i="16"/>
  <c r="T12" i="16"/>
  <c r="V12" i="16" s="1"/>
  <c r="N12" i="16"/>
  <c r="U12" i="16" s="1"/>
  <c r="M12" i="16"/>
  <c r="V11" i="16"/>
  <c r="T11" i="16"/>
  <c r="N11" i="16"/>
  <c r="U11" i="16" s="1"/>
  <c r="M11" i="16"/>
  <c r="T10" i="16"/>
  <c r="V10" i="16" s="1"/>
  <c r="N10" i="16"/>
  <c r="U10" i="16" s="1"/>
  <c r="M10" i="16"/>
  <c r="V9" i="16"/>
  <c r="T9" i="16"/>
  <c r="N9" i="16"/>
  <c r="U9" i="16" s="1"/>
  <c r="M9" i="16"/>
  <c r="T8" i="16"/>
  <c r="V8" i="16" s="1"/>
  <c r="N8" i="16"/>
  <c r="U8" i="16" s="1"/>
  <c r="M8" i="16"/>
  <c r="V7" i="16"/>
  <c r="W7" i="16" s="1"/>
  <c r="U7" i="16"/>
  <c r="T7" i="16"/>
  <c r="N7" i="16"/>
  <c r="M7" i="16"/>
  <c r="U6" i="16"/>
  <c r="T6" i="16"/>
  <c r="V6" i="16" s="1"/>
  <c r="W6" i="16" s="1"/>
  <c r="N6" i="16"/>
  <c r="M6" i="16"/>
  <c r="V5" i="16"/>
  <c r="T5" i="16"/>
  <c r="N5" i="16"/>
  <c r="U5" i="16" s="1"/>
  <c r="M5" i="16"/>
  <c r="S35" i="17"/>
  <c r="R35" i="17"/>
  <c r="Q35" i="17"/>
  <c r="P35" i="17"/>
  <c r="L35" i="17"/>
  <c r="K35" i="17"/>
  <c r="J35" i="17"/>
  <c r="I35" i="17"/>
  <c r="H35" i="17"/>
  <c r="G35" i="17"/>
  <c r="F35" i="17"/>
  <c r="E35" i="17"/>
  <c r="D35" i="17"/>
  <c r="C35" i="17"/>
  <c r="B35" i="17"/>
  <c r="W34" i="17"/>
  <c r="V34" i="17"/>
  <c r="U34" i="17"/>
  <c r="T34" i="17"/>
  <c r="N34" i="17"/>
  <c r="M34" i="17"/>
  <c r="W33" i="17"/>
  <c r="V33" i="17"/>
  <c r="U33" i="17"/>
  <c r="T33" i="17"/>
  <c r="N33" i="17"/>
  <c r="M33" i="17"/>
  <c r="W32" i="17"/>
  <c r="V32" i="17"/>
  <c r="U32" i="17"/>
  <c r="T32" i="17"/>
  <c r="N32" i="17"/>
  <c r="M32" i="17"/>
  <c r="W31" i="17"/>
  <c r="V31" i="17"/>
  <c r="U31" i="17"/>
  <c r="T31" i="17"/>
  <c r="N31" i="17"/>
  <c r="M31" i="17"/>
  <c r="W30" i="17"/>
  <c r="V30" i="17"/>
  <c r="U30" i="17"/>
  <c r="T30" i="17"/>
  <c r="N30" i="17"/>
  <c r="M30" i="17"/>
  <c r="W29" i="17"/>
  <c r="V29" i="17"/>
  <c r="U29" i="17"/>
  <c r="T29" i="17"/>
  <c r="N29" i="17"/>
  <c r="M29" i="17"/>
  <c r="W28" i="17"/>
  <c r="V28" i="17"/>
  <c r="U28" i="17"/>
  <c r="T28" i="17"/>
  <c r="N28" i="17"/>
  <c r="M28" i="17"/>
  <c r="W27" i="17"/>
  <c r="V27" i="17"/>
  <c r="U27" i="17"/>
  <c r="T27" i="17"/>
  <c r="N27" i="17"/>
  <c r="M27" i="17"/>
  <c r="W26" i="17"/>
  <c r="V26" i="17"/>
  <c r="U26" i="17"/>
  <c r="T26" i="17"/>
  <c r="N26" i="17"/>
  <c r="M26" i="17"/>
  <c r="W25" i="17"/>
  <c r="V25" i="17"/>
  <c r="U25" i="17"/>
  <c r="T25" i="17"/>
  <c r="N25" i="17"/>
  <c r="M25" i="17"/>
  <c r="W24" i="17"/>
  <c r="V24" i="17"/>
  <c r="U24" i="17"/>
  <c r="T24" i="17"/>
  <c r="N24" i="17"/>
  <c r="M24" i="17"/>
  <c r="W23" i="17"/>
  <c r="V23" i="17"/>
  <c r="U23" i="17"/>
  <c r="T23" i="17"/>
  <c r="N23" i="17"/>
  <c r="M23" i="17"/>
  <c r="W22" i="17"/>
  <c r="V22" i="17"/>
  <c r="U22" i="17"/>
  <c r="T22" i="17"/>
  <c r="N22" i="17"/>
  <c r="M22" i="17"/>
  <c r="W21" i="17"/>
  <c r="V21" i="17"/>
  <c r="U21" i="17"/>
  <c r="T21" i="17"/>
  <c r="N21" i="17"/>
  <c r="M21" i="17"/>
  <c r="W20" i="17"/>
  <c r="V20" i="17"/>
  <c r="U20" i="17"/>
  <c r="T20" i="17"/>
  <c r="N20" i="17"/>
  <c r="M20" i="17"/>
  <c r="W19" i="17"/>
  <c r="V19" i="17"/>
  <c r="U19" i="17"/>
  <c r="T19" i="17"/>
  <c r="N19" i="17"/>
  <c r="M19" i="17"/>
  <c r="W18" i="17"/>
  <c r="V18" i="17"/>
  <c r="U18" i="17"/>
  <c r="T18" i="17"/>
  <c r="N18" i="17"/>
  <c r="M18" i="17"/>
  <c r="W17" i="17"/>
  <c r="V17" i="17"/>
  <c r="U17" i="17"/>
  <c r="T17" i="17"/>
  <c r="N17" i="17"/>
  <c r="M17" i="17"/>
  <c r="W16" i="17"/>
  <c r="V16" i="17"/>
  <c r="U16" i="17"/>
  <c r="T16" i="17"/>
  <c r="N16" i="17"/>
  <c r="M16" i="17"/>
  <c r="W15" i="17"/>
  <c r="V15" i="17"/>
  <c r="U15" i="17"/>
  <c r="T15" i="17"/>
  <c r="N15" i="17"/>
  <c r="M15" i="17"/>
  <c r="W14" i="17"/>
  <c r="V14" i="17"/>
  <c r="U14" i="17"/>
  <c r="T14" i="17"/>
  <c r="N14" i="17"/>
  <c r="M14" i="17"/>
  <c r="W13" i="17"/>
  <c r="V13" i="17"/>
  <c r="U13" i="17"/>
  <c r="T13" i="17"/>
  <c r="N13" i="17"/>
  <c r="M13" i="17"/>
  <c r="W12" i="17"/>
  <c r="V12" i="17"/>
  <c r="U12" i="17"/>
  <c r="T12" i="17"/>
  <c r="N12" i="17"/>
  <c r="M12" i="17"/>
  <c r="W11" i="17"/>
  <c r="V11" i="17"/>
  <c r="U11" i="17"/>
  <c r="T11" i="17"/>
  <c r="N11" i="17"/>
  <c r="M11" i="17"/>
  <c r="W10" i="17"/>
  <c r="V10" i="17"/>
  <c r="U10" i="17"/>
  <c r="T10" i="17"/>
  <c r="N10" i="17"/>
  <c r="M10" i="17"/>
  <c r="W9" i="17"/>
  <c r="V9" i="17"/>
  <c r="U9" i="17"/>
  <c r="T9" i="17"/>
  <c r="N9" i="17"/>
  <c r="M9" i="17"/>
  <c r="W8" i="17"/>
  <c r="V8" i="17"/>
  <c r="U8" i="17"/>
  <c r="T8" i="17"/>
  <c r="N8" i="17"/>
  <c r="M8" i="17"/>
  <c r="W7" i="17"/>
  <c r="V7" i="17"/>
  <c r="U7" i="17"/>
  <c r="T7" i="17"/>
  <c r="N7" i="17"/>
  <c r="M7" i="17"/>
  <c r="W6" i="17"/>
  <c r="V6" i="17"/>
  <c r="U6" i="17"/>
  <c r="T6" i="17"/>
  <c r="N6" i="17"/>
  <c r="M6" i="17"/>
  <c r="T5" i="17"/>
  <c r="V5" i="17" s="1"/>
  <c r="V35" i="17" s="1"/>
  <c r="O18" i="1" s="1"/>
  <c r="N5" i="17"/>
  <c r="N35" i="17" s="1"/>
  <c r="M5" i="17"/>
  <c r="M35" i="17" s="1"/>
  <c r="S35" i="15"/>
  <c r="R35" i="15"/>
  <c r="Q35" i="15"/>
  <c r="P35" i="15"/>
  <c r="L35" i="15"/>
  <c r="K35" i="15"/>
  <c r="J35" i="15"/>
  <c r="I35" i="15"/>
  <c r="H35" i="15"/>
  <c r="G35" i="15"/>
  <c r="F35" i="15"/>
  <c r="E35" i="15"/>
  <c r="D35" i="15"/>
  <c r="C35" i="15"/>
  <c r="B35" i="15"/>
  <c r="W34" i="15"/>
  <c r="V34" i="15"/>
  <c r="U34" i="15"/>
  <c r="T34" i="15"/>
  <c r="N34" i="15"/>
  <c r="M34" i="15"/>
  <c r="W33" i="15"/>
  <c r="V33" i="15"/>
  <c r="U33" i="15"/>
  <c r="T33" i="15"/>
  <c r="N33" i="15"/>
  <c r="M33" i="15"/>
  <c r="W32" i="15"/>
  <c r="V32" i="15"/>
  <c r="U32" i="15"/>
  <c r="T32" i="15"/>
  <c r="N32" i="15"/>
  <c r="M32" i="15"/>
  <c r="W31" i="15"/>
  <c r="V31" i="15"/>
  <c r="U31" i="15"/>
  <c r="T31" i="15"/>
  <c r="N31" i="15"/>
  <c r="M31" i="15"/>
  <c r="W30" i="15"/>
  <c r="V30" i="15"/>
  <c r="U30" i="15"/>
  <c r="T30" i="15"/>
  <c r="N30" i="15"/>
  <c r="M30" i="15"/>
  <c r="W29" i="15"/>
  <c r="V29" i="15"/>
  <c r="U29" i="15"/>
  <c r="T29" i="15"/>
  <c r="N29" i="15"/>
  <c r="M29" i="15"/>
  <c r="W28" i="15"/>
  <c r="V28" i="15"/>
  <c r="U28" i="15"/>
  <c r="T28" i="15"/>
  <c r="N28" i="15"/>
  <c r="M28" i="15"/>
  <c r="W27" i="15"/>
  <c r="V27" i="15"/>
  <c r="U27" i="15"/>
  <c r="T27" i="15"/>
  <c r="N27" i="15"/>
  <c r="M27" i="15"/>
  <c r="W26" i="15"/>
  <c r="V26" i="15"/>
  <c r="U26" i="15"/>
  <c r="T26" i="15"/>
  <c r="N26" i="15"/>
  <c r="M26" i="15"/>
  <c r="W25" i="15"/>
  <c r="V25" i="15"/>
  <c r="U25" i="15"/>
  <c r="T25" i="15"/>
  <c r="N25" i="15"/>
  <c r="M25" i="15"/>
  <c r="W24" i="15"/>
  <c r="V24" i="15"/>
  <c r="U24" i="15"/>
  <c r="T24" i="15"/>
  <c r="N24" i="15"/>
  <c r="M24" i="15"/>
  <c r="W23" i="15"/>
  <c r="V23" i="15"/>
  <c r="U23" i="15"/>
  <c r="T23" i="15"/>
  <c r="N23" i="15"/>
  <c r="M23" i="15"/>
  <c r="W22" i="15"/>
  <c r="V22" i="15"/>
  <c r="U22" i="15"/>
  <c r="T22" i="15"/>
  <c r="N22" i="15"/>
  <c r="M22" i="15"/>
  <c r="W21" i="15"/>
  <c r="V21" i="15"/>
  <c r="U21" i="15"/>
  <c r="T21" i="15"/>
  <c r="N21" i="15"/>
  <c r="M21" i="15"/>
  <c r="W20" i="15"/>
  <c r="V20" i="15"/>
  <c r="U20" i="15"/>
  <c r="T20" i="15"/>
  <c r="N20" i="15"/>
  <c r="M20" i="15"/>
  <c r="W19" i="15"/>
  <c r="V19" i="15"/>
  <c r="U19" i="15"/>
  <c r="T19" i="15"/>
  <c r="N19" i="15"/>
  <c r="M19" i="15"/>
  <c r="W18" i="15"/>
  <c r="V18" i="15"/>
  <c r="U18" i="15"/>
  <c r="T18" i="15"/>
  <c r="N18" i="15"/>
  <c r="M18" i="15"/>
  <c r="W17" i="15"/>
  <c r="V17" i="15"/>
  <c r="U17" i="15"/>
  <c r="T17" i="15"/>
  <c r="N17" i="15"/>
  <c r="M17" i="15"/>
  <c r="W16" i="15"/>
  <c r="V16" i="15"/>
  <c r="U16" i="15"/>
  <c r="T16" i="15"/>
  <c r="N16" i="15"/>
  <c r="M16" i="15"/>
  <c r="V15" i="15"/>
  <c r="U15" i="15"/>
  <c r="W15" i="15" s="1"/>
  <c r="T15" i="15"/>
  <c r="N15" i="15"/>
  <c r="M15" i="15"/>
  <c r="V14" i="15"/>
  <c r="T14" i="15"/>
  <c r="N14" i="15"/>
  <c r="U14" i="15" s="1"/>
  <c r="W14" i="15" s="1"/>
  <c r="M14" i="15"/>
  <c r="V13" i="15"/>
  <c r="U13" i="15"/>
  <c r="W13" i="15" s="1"/>
  <c r="T13" i="15"/>
  <c r="N13" i="15"/>
  <c r="M13" i="15"/>
  <c r="V12" i="15"/>
  <c r="T12" i="15"/>
  <c r="N12" i="15"/>
  <c r="U12" i="15" s="1"/>
  <c r="W12" i="15" s="1"/>
  <c r="M12" i="15"/>
  <c r="V11" i="15"/>
  <c r="U11" i="15"/>
  <c r="W11" i="15" s="1"/>
  <c r="T11" i="15"/>
  <c r="N11" i="15"/>
  <c r="M11" i="15"/>
  <c r="V10" i="15"/>
  <c r="T10" i="15"/>
  <c r="N10" i="15"/>
  <c r="U10" i="15" s="1"/>
  <c r="W10" i="15" s="1"/>
  <c r="M10" i="15"/>
  <c r="V9" i="15"/>
  <c r="T9" i="15"/>
  <c r="N9" i="15"/>
  <c r="U9" i="15" s="1"/>
  <c r="W9" i="15" s="1"/>
  <c r="M9" i="15"/>
  <c r="V8" i="15"/>
  <c r="T8" i="15"/>
  <c r="N8" i="15"/>
  <c r="M8" i="15"/>
  <c r="V7" i="15"/>
  <c r="U7" i="15"/>
  <c r="W7" i="15" s="1"/>
  <c r="T7" i="15"/>
  <c r="N7" i="15"/>
  <c r="M7" i="15"/>
  <c r="V6" i="15"/>
  <c r="T6" i="15"/>
  <c r="N6" i="15"/>
  <c r="U6" i="15" s="1"/>
  <c r="W6" i="15" s="1"/>
  <c r="M6" i="15"/>
  <c r="T5" i="15"/>
  <c r="T35" i="15" s="1"/>
  <c r="N5" i="15"/>
  <c r="U5" i="15" s="1"/>
  <c r="M5" i="15"/>
  <c r="W25" i="14"/>
  <c r="V25" i="14"/>
  <c r="U25" i="14"/>
  <c r="T25" i="14"/>
  <c r="S25" i="14"/>
  <c r="R25" i="14"/>
  <c r="Q25" i="14"/>
  <c r="P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W24" i="14"/>
  <c r="V24" i="14"/>
  <c r="U24" i="14"/>
  <c r="T24" i="14"/>
  <c r="N24" i="14"/>
  <c r="M24" i="14"/>
  <c r="W23" i="14"/>
  <c r="V23" i="14"/>
  <c r="U23" i="14"/>
  <c r="T23" i="14"/>
  <c r="N23" i="14"/>
  <c r="M23" i="14"/>
  <c r="W22" i="14"/>
  <c r="V22" i="14"/>
  <c r="U22" i="14"/>
  <c r="T22" i="14"/>
  <c r="N22" i="14"/>
  <c r="M22" i="14"/>
  <c r="W21" i="14"/>
  <c r="V21" i="14"/>
  <c r="U21" i="14"/>
  <c r="T21" i="14"/>
  <c r="N21" i="14"/>
  <c r="M21" i="14"/>
  <c r="W20" i="14"/>
  <c r="V20" i="14"/>
  <c r="U20" i="14"/>
  <c r="T20" i="14"/>
  <c r="N20" i="14"/>
  <c r="M20" i="14"/>
  <c r="W19" i="14"/>
  <c r="V19" i="14"/>
  <c r="U19" i="14"/>
  <c r="T19" i="14"/>
  <c r="N19" i="14"/>
  <c r="M19" i="14"/>
  <c r="W18" i="14"/>
  <c r="V18" i="14"/>
  <c r="U18" i="14"/>
  <c r="T18" i="14"/>
  <c r="N18" i="14"/>
  <c r="M18" i="14"/>
  <c r="W17" i="14"/>
  <c r="V17" i="14"/>
  <c r="U17" i="14"/>
  <c r="T17" i="14"/>
  <c r="N17" i="14"/>
  <c r="M17" i="14"/>
  <c r="W16" i="14"/>
  <c r="V16" i="14"/>
  <c r="U16" i="14"/>
  <c r="T16" i="14"/>
  <c r="N16" i="14"/>
  <c r="M16" i="14"/>
  <c r="W15" i="14"/>
  <c r="V15" i="14"/>
  <c r="U15" i="14"/>
  <c r="T15" i="14"/>
  <c r="N15" i="14"/>
  <c r="M15" i="14"/>
  <c r="W14" i="14"/>
  <c r="V14" i="14"/>
  <c r="U14" i="14"/>
  <c r="T14" i="14"/>
  <c r="N14" i="14"/>
  <c r="M14" i="14"/>
  <c r="W13" i="14"/>
  <c r="V13" i="14"/>
  <c r="U13" i="14"/>
  <c r="T13" i="14"/>
  <c r="N13" i="14"/>
  <c r="M13" i="14"/>
  <c r="W12" i="14"/>
  <c r="V12" i="14"/>
  <c r="U12" i="14"/>
  <c r="T12" i="14"/>
  <c r="N12" i="14"/>
  <c r="M12" i="14"/>
  <c r="W11" i="14"/>
  <c r="V11" i="14"/>
  <c r="U11" i="14"/>
  <c r="T11" i="14"/>
  <c r="N11" i="14"/>
  <c r="M11" i="14"/>
  <c r="W10" i="14"/>
  <c r="V10" i="14"/>
  <c r="U10" i="14"/>
  <c r="T10" i="14"/>
  <c r="N10" i="14"/>
  <c r="M10" i="14"/>
  <c r="W9" i="14"/>
  <c r="V9" i="14"/>
  <c r="U9" i="14"/>
  <c r="T9" i="14"/>
  <c r="N9" i="14"/>
  <c r="M9" i="14"/>
  <c r="W8" i="14"/>
  <c r="V8" i="14"/>
  <c r="U8" i="14"/>
  <c r="T8" i="14"/>
  <c r="N8" i="14"/>
  <c r="M8" i="14"/>
  <c r="W7" i="14"/>
  <c r="V7" i="14"/>
  <c r="U7" i="14"/>
  <c r="T7" i="14"/>
  <c r="N7" i="14"/>
  <c r="M7" i="14"/>
  <c r="W6" i="14"/>
  <c r="V6" i="14"/>
  <c r="U6" i="14"/>
  <c r="T6" i="14"/>
  <c r="N6" i="14"/>
  <c r="M6" i="14"/>
  <c r="W5" i="14"/>
  <c r="V5" i="14"/>
  <c r="U5" i="14"/>
  <c r="T5" i="14"/>
  <c r="N5" i="14"/>
  <c r="M5" i="14"/>
  <c r="T25" i="13"/>
  <c r="S25" i="13"/>
  <c r="R25" i="13"/>
  <c r="Q25" i="13"/>
  <c r="P25" i="13"/>
  <c r="L25" i="13"/>
  <c r="K25" i="13"/>
  <c r="J25" i="13"/>
  <c r="I25" i="13"/>
  <c r="H25" i="13"/>
  <c r="G25" i="13"/>
  <c r="F25" i="13"/>
  <c r="E25" i="13"/>
  <c r="D25" i="13"/>
  <c r="C25" i="13"/>
  <c r="B25" i="13"/>
  <c r="W24" i="13"/>
  <c r="V24" i="13"/>
  <c r="U24" i="13"/>
  <c r="T24" i="13"/>
  <c r="N24" i="13"/>
  <c r="M24" i="13"/>
  <c r="W23" i="13"/>
  <c r="V23" i="13"/>
  <c r="U23" i="13"/>
  <c r="T23" i="13"/>
  <c r="N23" i="13"/>
  <c r="M23" i="13"/>
  <c r="W22" i="13"/>
  <c r="V22" i="13"/>
  <c r="U22" i="13"/>
  <c r="T22" i="13"/>
  <c r="N22" i="13"/>
  <c r="M22" i="13"/>
  <c r="W21" i="13"/>
  <c r="V21" i="13"/>
  <c r="U21" i="13"/>
  <c r="T21" i="13"/>
  <c r="N21" i="13"/>
  <c r="M21" i="13"/>
  <c r="W20" i="13"/>
  <c r="V20" i="13"/>
  <c r="U20" i="13"/>
  <c r="T20" i="13"/>
  <c r="N20" i="13"/>
  <c r="M20" i="13"/>
  <c r="W19" i="13"/>
  <c r="V19" i="13"/>
  <c r="U19" i="13"/>
  <c r="T19" i="13"/>
  <c r="N19" i="13"/>
  <c r="M19" i="13"/>
  <c r="W18" i="13"/>
  <c r="V18" i="13"/>
  <c r="U18" i="13"/>
  <c r="T18" i="13"/>
  <c r="N18" i="13"/>
  <c r="M18" i="13"/>
  <c r="V17" i="13"/>
  <c r="T17" i="13"/>
  <c r="N17" i="13"/>
  <c r="U17" i="13" s="1"/>
  <c r="W17" i="13" s="1"/>
  <c r="M17" i="13"/>
  <c r="V16" i="13"/>
  <c r="U16" i="13"/>
  <c r="W16" i="13" s="1"/>
  <c r="T16" i="13"/>
  <c r="N16" i="13"/>
  <c r="M16" i="13"/>
  <c r="V15" i="13"/>
  <c r="T15" i="13"/>
  <c r="N15" i="13"/>
  <c r="U15" i="13" s="1"/>
  <c r="W15" i="13" s="1"/>
  <c r="M15" i="13"/>
  <c r="V14" i="13"/>
  <c r="U14" i="13"/>
  <c r="W14" i="13" s="1"/>
  <c r="T14" i="13"/>
  <c r="N14" i="13"/>
  <c r="M14" i="13"/>
  <c r="V13" i="13"/>
  <c r="T13" i="13"/>
  <c r="N13" i="13"/>
  <c r="U13" i="13" s="1"/>
  <c r="W13" i="13" s="1"/>
  <c r="M13" i="13"/>
  <c r="V12" i="13"/>
  <c r="U12" i="13"/>
  <c r="W12" i="13" s="1"/>
  <c r="T12" i="13"/>
  <c r="N12" i="13"/>
  <c r="M12" i="13"/>
  <c r="V11" i="13"/>
  <c r="T11" i="13"/>
  <c r="N11" i="13"/>
  <c r="U11" i="13" s="1"/>
  <c r="W11" i="13" s="1"/>
  <c r="M11" i="13"/>
  <c r="V10" i="13"/>
  <c r="U10" i="13"/>
  <c r="W10" i="13" s="1"/>
  <c r="T10" i="13"/>
  <c r="N10" i="13"/>
  <c r="M10" i="13"/>
  <c r="V9" i="13"/>
  <c r="T9" i="13"/>
  <c r="N9" i="13"/>
  <c r="U9" i="13" s="1"/>
  <c r="W9" i="13" s="1"/>
  <c r="M9" i="13"/>
  <c r="V8" i="13"/>
  <c r="U8" i="13"/>
  <c r="W8" i="13" s="1"/>
  <c r="T8" i="13"/>
  <c r="N8" i="13"/>
  <c r="M8" i="13"/>
  <c r="V7" i="13"/>
  <c r="T7" i="13"/>
  <c r="N7" i="13"/>
  <c r="U7" i="13" s="1"/>
  <c r="W7" i="13" s="1"/>
  <c r="M7" i="13"/>
  <c r="V6" i="13"/>
  <c r="U6" i="13"/>
  <c r="W6" i="13" s="1"/>
  <c r="T6" i="13"/>
  <c r="N6" i="13"/>
  <c r="M6" i="13"/>
  <c r="V5" i="13"/>
  <c r="T5" i="13"/>
  <c r="N5" i="13"/>
  <c r="N25" i="13" s="1"/>
  <c r="M5" i="13"/>
  <c r="M25" i="13" s="1"/>
  <c r="W25" i="12"/>
  <c r="V25" i="12"/>
  <c r="U25" i="12"/>
  <c r="T25" i="12"/>
  <c r="S25" i="12"/>
  <c r="R25" i="12"/>
  <c r="Q25" i="12"/>
  <c r="P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W24" i="12"/>
  <c r="V24" i="12"/>
  <c r="U24" i="12"/>
  <c r="T24" i="12"/>
  <c r="N24" i="12"/>
  <c r="M24" i="12"/>
  <c r="W23" i="12"/>
  <c r="V23" i="12"/>
  <c r="U23" i="12"/>
  <c r="T23" i="12"/>
  <c r="N23" i="12"/>
  <c r="M23" i="12"/>
  <c r="W22" i="12"/>
  <c r="V22" i="12"/>
  <c r="U22" i="12"/>
  <c r="T22" i="12"/>
  <c r="N22" i="12"/>
  <c r="M22" i="12"/>
  <c r="W21" i="12"/>
  <c r="V21" i="12"/>
  <c r="U21" i="12"/>
  <c r="T21" i="12"/>
  <c r="N21" i="12"/>
  <c r="M21" i="12"/>
  <c r="W20" i="12"/>
  <c r="V20" i="12"/>
  <c r="U20" i="12"/>
  <c r="T20" i="12"/>
  <c r="N20" i="12"/>
  <c r="M20" i="12"/>
  <c r="W19" i="12"/>
  <c r="V19" i="12"/>
  <c r="U19" i="12"/>
  <c r="T19" i="12"/>
  <c r="N19" i="12"/>
  <c r="M19" i="12"/>
  <c r="W18" i="12"/>
  <c r="V18" i="12"/>
  <c r="U18" i="12"/>
  <c r="T18" i="12"/>
  <c r="N18" i="12"/>
  <c r="M18" i="12"/>
  <c r="W17" i="12"/>
  <c r="V17" i="12"/>
  <c r="U17" i="12"/>
  <c r="T17" i="12"/>
  <c r="N17" i="12"/>
  <c r="M17" i="12"/>
  <c r="W16" i="12"/>
  <c r="V16" i="12"/>
  <c r="U16" i="12"/>
  <c r="T16" i="12"/>
  <c r="N16" i="12"/>
  <c r="M16" i="12"/>
  <c r="W15" i="12"/>
  <c r="V15" i="12"/>
  <c r="U15" i="12"/>
  <c r="T15" i="12"/>
  <c r="N15" i="12"/>
  <c r="M15" i="12"/>
  <c r="W14" i="12"/>
  <c r="V14" i="12"/>
  <c r="U14" i="12"/>
  <c r="T14" i="12"/>
  <c r="N14" i="12"/>
  <c r="M14" i="12"/>
  <c r="W13" i="12"/>
  <c r="V13" i="12"/>
  <c r="U13" i="12"/>
  <c r="T13" i="12"/>
  <c r="N13" i="12"/>
  <c r="M13" i="12"/>
  <c r="W12" i="12"/>
  <c r="V12" i="12"/>
  <c r="U12" i="12"/>
  <c r="T12" i="12"/>
  <c r="N12" i="12"/>
  <c r="M12" i="12"/>
  <c r="W11" i="12"/>
  <c r="V11" i="12"/>
  <c r="U11" i="12"/>
  <c r="T11" i="12"/>
  <c r="N11" i="12"/>
  <c r="M11" i="12"/>
  <c r="W10" i="12"/>
  <c r="V10" i="12"/>
  <c r="U10" i="12"/>
  <c r="T10" i="12"/>
  <c r="N10" i="12"/>
  <c r="M10" i="12"/>
  <c r="W9" i="12"/>
  <c r="V9" i="12"/>
  <c r="U9" i="12"/>
  <c r="T9" i="12"/>
  <c r="N9" i="12"/>
  <c r="M9" i="12"/>
  <c r="W8" i="12"/>
  <c r="V8" i="12"/>
  <c r="U8" i="12"/>
  <c r="T8" i="12"/>
  <c r="N8" i="12"/>
  <c r="M8" i="12"/>
  <c r="W7" i="12"/>
  <c r="V7" i="12"/>
  <c r="U7" i="12"/>
  <c r="T7" i="12"/>
  <c r="N7" i="12"/>
  <c r="M7" i="12"/>
  <c r="W6" i="12"/>
  <c r="V6" i="12"/>
  <c r="U6" i="12"/>
  <c r="T6" i="12"/>
  <c r="N6" i="12"/>
  <c r="M6" i="12"/>
  <c r="W5" i="12"/>
  <c r="V5" i="12"/>
  <c r="U5" i="12"/>
  <c r="T5" i="12"/>
  <c r="N5" i="12"/>
  <c r="M5" i="12"/>
  <c r="T25" i="11"/>
  <c r="S25" i="11"/>
  <c r="R25" i="11"/>
  <c r="Q25" i="11"/>
  <c r="P25" i="11"/>
  <c r="L25" i="11"/>
  <c r="K25" i="11"/>
  <c r="J25" i="11"/>
  <c r="I25" i="11"/>
  <c r="H25" i="11"/>
  <c r="G25" i="11"/>
  <c r="F25" i="11"/>
  <c r="E25" i="11"/>
  <c r="D25" i="11"/>
  <c r="C25" i="11"/>
  <c r="B25" i="11"/>
  <c r="W24" i="11"/>
  <c r="V24" i="11"/>
  <c r="U24" i="11"/>
  <c r="T24" i="11"/>
  <c r="N24" i="11"/>
  <c r="M24" i="11"/>
  <c r="W23" i="11"/>
  <c r="V23" i="11"/>
  <c r="U23" i="11"/>
  <c r="T23" i="11"/>
  <c r="N23" i="11"/>
  <c r="M23" i="11"/>
  <c r="W22" i="11"/>
  <c r="V22" i="11"/>
  <c r="U22" i="11"/>
  <c r="T22" i="11"/>
  <c r="N22" i="11"/>
  <c r="M22" i="11"/>
  <c r="W21" i="11"/>
  <c r="V21" i="11"/>
  <c r="U21" i="11"/>
  <c r="T21" i="11"/>
  <c r="N21" i="11"/>
  <c r="M21" i="11"/>
  <c r="W20" i="11"/>
  <c r="V20" i="11"/>
  <c r="U20" i="11"/>
  <c r="T20" i="11"/>
  <c r="N20" i="11"/>
  <c r="M20" i="11"/>
  <c r="W19" i="11"/>
  <c r="V19" i="11"/>
  <c r="U19" i="11"/>
  <c r="T19" i="11"/>
  <c r="N19" i="11"/>
  <c r="M19" i="11"/>
  <c r="W18" i="11"/>
  <c r="V18" i="11"/>
  <c r="U18" i="11"/>
  <c r="T18" i="11"/>
  <c r="N18" i="11"/>
  <c r="M18" i="11"/>
  <c r="W17" i="11"/>
  <c r="V17" i="11"/>
  <c r="U17" i="11"/>
  <c r="T17" i="11"/>
  <c r="N17" i="11"/>
  <c r="M17" i="11"/>
  <c r="W16" i="11"/>
  <c r="V16" i="11"/>
  <c r="U16" i="11"/>
  <c r="T16" i="11"/>
  <c r="N16" i="11"/>
  <c r="M16" i="11"/>
  <c r="W15" i="11"/>
  <c r="V15" i="11"/>
  <c r="U15" i="11"/>
  <c r="T15" i="11"/>
  <c r="N15" i="11"/>
  <c r="M15" i="11"/>
  <c r="W14" i="11"/>
  <c r="V14" i="11"/>
  <c r="U14" i="11"/>
  <c r="T14" i="11"/>
  <c r="N14" i="11"/>
  <c r="M14" i="11"/>
  <c r="W13" i="11"/>
  <c r="V13" i="11"/>
  <c r="U13" i="11"/>
  <c r="T13" i="11"/>
  <c r="N13" i="11"/>
  <c r="M13" i="11"/>
  <c r="W12" i="11"/>
  <c r="V12" i="11"/>
  <c r="U12" i="11"/>
  <c r="T12" i="11"/>
  <c r="N12" i="11"/>
  <c r="M12" i="11"/>
  <c r="W11" i="11"/>
  <c r="V11" i="11"/>
  <c r="U11" i="11"/>
  <c r="T11" i="11"/>
  <c r="N11" i="11"/>
  <c r="M11" i="11"/>
  <c r="V10" i="11"/>
  <c r="U10" i="11"/>
  <c r="W10" i="11" s="1"/>
  <c r="T10" i="11"/>
  <c r="N10" i="11"/>
  <c r="M10" i="11"/>
  <c r="V9" i="11"/>
  <c r="T9" i="11"/>
  <c r="N9" i="11"/>
  <c r="U9" i="11" s="1"/>
  <c r="W9" i="11" s="1"/>
  <c r="M9" i="11"/>
  <c r="V8" i="11"/>
  <c r="U8" i="11"/>
  <c r="W8" i="11" s="1"/>
  <c r="T8" i="11"/>
  <c r="N8" i="11"/>
  <c r="M8" i="11"/>
  <c r="V7" i="11"/>
  <c r="T7" i="11"/>
  <c r="N7" i="11"/>
  <c r="U7" i="11" s="1"/>
  <c r="W7" i="11" s="1"/>
  <c r="M7" i="11"/>
  <c r="V6" i="11"/>
  <c r="T6" i="11"/>
  <c r="N6" i="11"/>
  <c r="U6" i="11" s="1"/>
  <c r="M6" i="11"/>
  <c r="M25" i="11" s="1"/>
  <c r="V5" i="11"/>
  <c r="V25" i="11" s="1"/>
  <c r="O12" i="1" s="1"/>
  <c r="U5" i="11"/>
  <c r="W5" i="11" s="1"/>
  <c r="T5" i="11"/>
  <c r="N5" i="11"/>
  <c r="M5" i="11"/>
  <c r="S25" i="9"/>
  <c r="R25" i="9"/>
  <c r="Q25" i="9"/>
  <c r="P25" i="9"/>
  <c r="L25" i="9"/>
  <c r="K25" i="9"/>
  <c r="J25" i="9"/>
  <c r="I25" i="9"/>
  <c r="H25" i="9"/>
  <c r="G25" i="9"/>
  <c r="F25" i="9"/>
  <c r="E25" i="9"/>
  <c r="D25" i="9"/>
  <c r="C25" i="9"/>
  <c r="B25" i="9"/>
  <c r="W24" i="9"/>
  <c r="V24" i="9"/>
  <c r="U24" i="9"/>
  <c r="T24" i="9"/>
  <c r="N24" i="9"/>
  <c r="M24" i="9"/>
  <c r="W23" i="9"/>
  <c r="V23" i="9"/>
  <c r="U23" i="9"/>
  <c r="T23" i="9"/>
  <c r="N23" i="9"/>
  <c r="M23" i="9"/>
  <c r="W22" i="9"/>
  <c r="V22" i="9"/>
  <c r="U22" i="9"/>
  <c r="T22" i="9"/>
  <c r="N22" i="9"/>
  <c r="M22" i="9"/>
  <c r="W21" i="9"/>
  <c r="V21" i="9"/>
  <c r="U21" i="9"/>
  <c r="T21" i="9"/>
  <c r="N21" i="9"/>
  <c r="M21" i="9"/>
  <c r="W20" i="9"/>
  <c r="V20" i="9"/>
  <c r="U20" i="9"/>
  <c r="T20" i="9"/>
  <c r="N20" i="9"/>
  <c r="M20" i="9"/>
  <c r="W19" i="9"/>
  <c r="V19" i="9"/>
  <c r="U19" i="9"/>
  <c r="T19" i="9"/>
  <c r="N19" i="9"/>
  <c r="M19" i="9"/>
  <c r="W18" i="9"/>
  <c r="V18" i="9"/>
  <c r="U18" i="9"/>
  <c r="T18" i="9"/>
  <c r="N18" i="9"/>
  <c r="M18" i="9"/>
  <c r="W17" i="9"/>
  <c r="V17" i="9"/>
  <c r="U17" i="9"/>
  <c r="T17" i="9"/>
  <c r="N17" i="9"/>
  <c r="M17" i="9"/>
  <c r="W16" i="9"/>
  <c r="V16" i="9"/>
  <c r="U16" i="9"/>
  <c r="T16" i="9"/>
  <c r="N16" i="9"/>
  <c r="M16" i="9"/>
  <c r="W15" i="9"/>
  <c r="V15" i="9"/>
  <c r="U15" i="9"/>
  <c r="T15" i="9"/>
  <c r="N15" i="9"/>
  <c r="M15" i="9"/>
  <c r="W14" i="9"/>
  <c r="V14" i="9"/>
  <c r="U14" i="9"/>
  <c r="T14" i="9"/>
  <c r="N14" i="9"/>
  <c r="M14" i="9"/>
  <c r="W13" i="9"/>
  <c r="V13" i="9"/>
  <c r="U13" i="9"/>
  <c r="T13" i="9"/>
  <c r="N13" i="9"/>
  <c r="M13" i="9"/>
  <c r="W12" i="9"/>
  <c r="V12" i="9"/>
  <c r="U12" i="9"/>
  <c r="T12" i="9"/>
  <c r="N12" i="9"/>
  <c r="M12" i="9"/>
  <c r="W11" i="9"/>
  <c r="V11" i="9"/>
  <c r="U11" i="9"/>
  <c r="T11" i="9"/>
  <c r="N11" i="9"/>
  <c r="M11" i="9"/>
  <c r="W10" i="9"/>
  <c r="V10" i="9"/>
  <c r="U10" i="9"/>
  <c r="T10" i="9"/>
  <c r="N10" i="9"/>
  <c r="M10" i="9"/>
  <c r="W9" i="9"/>
  <c r="V9" i="9"/>
  <c r="U9" i="9"/>
  <c r="T9" i="9"/>
  <c r="N9" i="9"/>
  <c r="M9" i="9"/>
  <c r="W8" i="9"/>
  <c r="V8" i="9"/>
  <c r="U8" i="9"/>
  <c r="T8" i="9"/>
  <c r="N8" i="9"/>
  <c r="M8" i="9"/>
  <c r="W7" i="9"/>
  <c r="V7" i="9"/>
  <c r="U7" i="9"/>
  <c r="T7" i="9"/>
  <c r="N7" i="9"/>
  <c r="M7" i="9"/>
  <c r="V6" i="9"/>
  <c r="T6" i="9"/>
  <c r="N6" i="9"/>
  <c r="U6" i="9" s="1"/>
  <c r="W6" i="9" s="1"/>
  <c r="M6" i="9"/>
  <c r="V5" i="9"/>
  <c r="T5" i="9"/>
  <c r="T25" i="9" s="1"/>
  <c r="N5" i="9"/>
  <c r="N25" i="9" s="1"/>
  <c r="M5" i="9"/>
  <c r="M25" i="9" s="1"/>
  <c r="S25" i="10"/>
  <c r="R25" i="10"/>
  <c r="Q25" i="10"/>
  <c r="P25" i="10"/>
  <c r="L25" i="10"/>
  <c r="K25" i="10"/>
  <c r="J25" i="10"/>
  <c r="I25" i="10"/>
  <c r="H25" i="10"/>
  <c r="G25" i="10"/>
  <c r="F25" i="10"/>
  <c r="E25" i="10"/>
  <c r="D25" i="10"/>
  <c r="C25" i="10"/>
  <c r="B25" i="10"/>
  <c r="W24" i="10"/>
  <c r="V24" i="10"/>
  <c r="U24" i="10"/>
  <c r="T24" i="10"/>
  <c r="N24" i="10"/>
  <c r="M24" i="10"/>
  <c r="W23" i="10"/>
  <c r="V23" i="10"/>
  <c r="U23" i="10"/>
  <c r="T23" i="10"/>
  <c r="N23" i="10"/>
  <c r="M23" i="10"/>
  <c r="W22" i="10"/>
  <c r="V22" i="10"/>
  <c r="U22" i="10"/>
  <c r="T22" i="10"/>
  <c r="N22" i="10"/>
  <c r="M22" i="10"/>
  <c r="W21" i="10"/>
  <c r="V21" i="10"/>
  <c r="U21" i="10"/>
  <c r="T21" i="10"/>
  <c r="N21" i="10"/>
  <c r="M21" i="10"/>
  <c r="W20" i="10"/>
  <c r="V20" i="10"/>
  <c r="U20" i="10"/>
  <c r="T20" i="10"/>
  <c r="N20" i="10"/>
  <c r="M20" i="10"/>
  <c r="W19" i="10"/>
  <c r="V19" i="10"/>
  <c r="U19" i="10"/>
  <c r="T19" i="10"/>
  <c r="N19" i="10"/>
  <c r="M19" i="10"/>
  <c r="W18" i="10"/>
  <c r="V18" i="10"/>
  <c r="U18" i="10"/>
  <c r="T18" i="10"/>
  <c r="N18" i="10"/>
  <c r="M18" i="10"/>
  <c r="W17" i="10"/>
  <c r="V17" i="10"/>
  <c r="U17" i="10"/>
  <c r="T17" i="10"/>
  <c r="N17" i="10"/>
  <c r="M17" i="10"/>
  <c r="W16" i="10"/>
  <c r="V16" i="10"/>
  <c r="U16" i="10"/>
  <c r="T16" i="10"/>
  <c r="N16" i="10"/>
  <c r="M16" i="10"/>
  <c r="W15" i="10"/>
  <c r="V15" i="10"/>
  <c r="U15" i="10"/>
  <c r="T15" i="10"/>
  <c r="N15" i="10"/>
  <c r="M15" i="10"/>
  <c r="W14" i="10"/>
  <c r="V14" i="10"/>
  <c r="U14" i="10"/>
  <c r="T14" i="10"/>
  <c r="N14" i="10"/>
  <c r="M14" i="10"/>
  <c r="W13" i="10"/>
  <c r="V13" i="10"/>
  <c r="U13" i="10"/>
  <c r="T13" i="10"/>
  <c r="N13" i="10"/>
  <c r="M13" i="10"/>
  <c r="V12" i="10"/>
  <c r="T12" i="10"/>
  <c r="N12" i="10"/>
  <c r="U12" i="10" s="1"/>
  <c r="W12" i="10" s="1"/>
  <c r="M12" i="10"/>
  <c r="V11" i="10"/>
  <c r="U11" i="10"/>
  <c r="W11" i="10" s="1"/>
  <c r="T11" i="10"/>
  <c r="N11" i="10"/>
  <c r="M11" i="10"/>
  <c r="V10" i="10"/>
  <c r="T10" i="10"/>
  <c r="N10" i="10"/>
  <c r="U10" i="10" s="1"/>
  <c r="W10" i="10" s="1"/>
  <c r="M10" i="10"/>
  <c r="V9" i="10"/>
  <c r="U9" i="10"/>
  <c r="W9" i="10" s="1"/>
  <c r="T9" i="10"/>
  <c r="N9" i="10"/>
  <c r="M9" i="10"/>
  <c r="V8" i="10"/>
  <c r="T8" i="10"/>
  <c r="N8" i="10"/>
  <c r="U8" i="10" s="1"/>
  <c r="W8" i="10" s="1"/>
  <c r="M8" i="10"/>
  <c r="V7" i="10"/>
  <c r="U7" i="10"/>
  <c r="W7" i="10" s="1"/>
  <c r="T7" i="10"/>
  <c r="N7" i="10"/>
  <c r="M7" i="10"/>
  <c r="V6" i="10"/>
  <c r="T6" i="10"/>
  <c r="N6" i="10"/>
  <c r="M6" i="10"/>
  <c r="U5" i="10"/>
  <c r="T5" i="10"/>
  <c r="T25" i="10" s="1"/>
  <c r="N5" i="10"/>
  <c r="M5" i="10"/>
  <c r="V25" i="8"/>
  <c r="S25" i="8"/>
  <c r="R25" i="8"/>
  <c r="Q25" i="8"/>
  <c r="P25" i="8"/>
  <c r="L25" i="8"/>
  <c r="K25" i="8"/>
  <c r="J25" i="8"/>
  <c r="I25" i="8"/>
  <c r="H25" i="8"/>
  <c r="G25" i="8"/>
  <c r="F25" i="8"/>
  <c r="E25" i="8"/>
  <c r="D25" i="8"/>
  <c r="C25" i="8"/>
  <c r="B25" i="8"/>
  <c r="W24" i="8"/>
  <c r="V24" i="8"/>
  <c r="U24" i="8"/>
  <c r="T24" i="8"/>
  <c r="N24" i="8"/>
  <c r="M24" i="8"/>
  <c r="W23" i="8"/>
  <c r="V23" i="8"/>
  <c r="U23" i="8"/>
  <c r="T23" i="8"/>
  <c r="N23" i="8"/>
  <c r="M23" i="8"/>
  <c r="W22" i="8"/>
  <c r="V22" i="8"/>
  <c r="U22" i="8"/>
  <c r="T22" i="8"/>
  <c r="N22" i="8"/>
  <c r="M22" i="8"/>
  <c r="W21" i="8"/>
  <c r="V21" i="8"/>
  <c r="U21" i="8"/>
  <c r="T21" i="8"/>
  <c r="N21" i="8"/>
  <c r="M21" i="8"/>
  <c r="W20" i="8"/>
  <c r="V20" i="8"/>
  <c r="U20" i="8"/>
  <c r="T20" i="8"/>
  <c r="N20" i="8"/>
  <c r="M20" i="8"/>
  <c r="W19" i="8"/>
  <c r="V19" i="8"/>
  <c r="U19" i="8"/>
  <c r="T19" i="8"/>
  <c r="N19" i="8"/>
  <c r="M19" i="8"/>
  <c r="W18" i="8"/>
  <c r="V18" i="8"/>
  <c r="U18" i="8"/>
  <c r="T18" i="8"/>
  <c r="N18" i="8"/>
  <c r="M18" i="8"/>
  <c r="W17" i="8"/>
  <c r="V17" i="8"/>
  <c r="U17" i="8"/>
  <c r="T17" i="8"/>
  <c r="N17" i="8"/>
  <c r="M17" i="8"/>
  <c r="W16" i="8"/>
  <c r="V16" i="8"/>
  <c r="U16" i="8"/>
  <c r="T16" i="8"/>
  <c r="N16" i="8"/>
  <c r="M16" i="8"/>
  <c r="W15" i="8"/>
  <c r="V15" i="8"/>
  <c r="U15" i="8"/>
  <c r="T15" i="8"/>
  <c r="N15" i="8"/>
  <c r="M15" i="8"/>
  <c r="W14" i="8"/>
  <c r="V14" i="8"/>
  <c r="U14" i="8"/>
  <c r="T14" i="8"/>
  <c r="N14" i="8"/>
  <c r="M14" i="8"/>
  <c r="W13" i="8"/>
  <c r="V13" i="8"/>
  <c r="U13" i="8"/>
  <c r="T13" i="8"/>
  <c r="N13" i="8"/>
  <c r="M13" i="8"/>
  <c r="W12" i="8"/>
  <c r="V12" i="8"/>
  <c r="U12" i="8"/>
  <c r="T12" i="8"/>
  <c r="N12" i="8"/>
  <c r="M12" i="8"/>
  <c r="W11" i="8"/>
  <c r="V11" i="8"/>
  <c r="U11" i="8"/>
  <c r="T11" i="8"/>
  <c r="N11" i="8"/>
  <c r="M11" i="8"/>
  <c r="W10" i="8"/>
  <c r="V10" i="8"/>
  <c r="U10" i="8"/>
  <c r="T10" i="8"/>
  <c r="N10" i="8"/>
  <c r="M10" i="8"/>
  <c r="W9" i="8"/>
  <c r="V9" i="8"/>
  <c r="U9" i="8"/>
  <c r="T9" i="8"/>
  <c r="N9" i="8"/>
  <c r="M9" i="8"/>
  <c r="W8" i="8"/>
  <c r="V8" i="8"/>
  <c r="U8" i="8"/>
  <c r="T8" i="8"/>
  <c r="N8" i="8"/>
  <c r="M8" i="8"/>
  <c r="W7" i="8"/>
  <c r="V7" i="8"/>
  <c r="U7" i="8"/>
  <c r="T7" i="8"/>
  <c r="N7" i="8"/>
  <c r="M7" i="8"/>
  <c r="V6" i="8"/>
  <c r="U6" i="8"/>
  <c r="W6" i="8" s="1"/>
  <c r="T6" i="8"/>
  <c r="N6" i="8"/>
  <c r="M6" i="8"/>
  <c r="V5" i="8"/>
  <c r="U5" i="8"/>
  <c r="U25" i="8" s="1"/>
  <c r="T5" i="8"/>
  <c r="T25" i="8" s="1"/>
  <c r="N5" i="8"/>
  <c r="N25" i="8" s="1"/>
  <c r="M5" i="8"/>
  <c r="M25" i="8" s="1"/>
  <c r="T25" i="7"/>
  <c r="S25" i="7"/>
  <c r="R25" i="7"/>
  <c r="Q25" i="7"/>
  <c r="P25" i="7"/>
  <c r="L25" i="7"/>
  <c r="K25" i="7"/>
  <c r="J25" i="7"/>
  <c r="I25" i="7"/>
  <c r="H25" i="7"/>
  <c r="G25" i="7"/>
  <c r="F25" i="7"/>
  <c r="E25" i="7"/>
  <c r="D25" i="7"/>
  <c r="C25" i="7"/>
  <c r="B25" i="7"/>
  <c r="W24" i="7"/>
  <c r="V24" i="7"/>
  <c r="U24" i="7"/>
  <c r="T24" i="7"/>
  <c r="N24" i="7"/>
  <c r="M24" i="7"/>
  <c r="W23" i="7"/>
  <c r="V23" i="7"/>
  <c r="U23" i="7"/>
  <c r="T23" i="7"/>
  <c r="N23" i="7"/>
  <c r="M23" i="7"/>
  <c r="W22" i="7"/>
  <c r="V22" i="7"/>
  <c r="U22" i="7"/>
  <c r="T22" i="7"/>
  <c r="N22" i="7"/>
  <c r="M22" i="7"/>
  <c r="W21" i="7"/>
  <c r="V21" i="7"/>
  <c r="U21" i="7"/>
  <c r="T21" i="7"/>
  <c r="N21" i="7"/>
  <c r="M21" i="7"/>
  <c r="W20" i="7"/>
  <c r="V20" i="7"/>
  <c r="U20" i="7"/>
  <c r="T20" i="7"/>
  <c r="N20" i="7"/>
  <c r="M20" i="7"/>
  <c r="W19" i="7"/>
  <c r="V19" i="7"/>
  <c r="U19" i="7"/>
  <c r="T19" i="7"/>
  <c r="N19" i="7"/>
  <c r="M19" i="7"/>
  <c r="W18" i="7"/>
  <c r="V18" i="7"/>
  <c r="U18" i="7"/>
  <c r="T18" i="7"/>
  <c r="N18" i="7"/>
  <c r="M18" i="7"/>
  <c r="W17" i="7"/>
  <c r="V17" i="7"/>
  <c r="U17" i="7"/>
  <c r="T17" i="7"/>
  <c r="N17" i="7"/>
  <c r="M17" i="7"/>
  <c r="W16" i="7"/>
  <c r="V16" i="7"/>
  <c r="U16" i="7"/>
  <c r="T16" i="7"/>
  <c r="N16" i="7"/>
  <c r="M16" i="7"/>
  <c r="W15" i="7"/>
  <c r="V15" i="7"/>
  <c r="U15" i="7"/>
  <c r="T15" i="7"/>
  <c r="N15" i="7"/>
  <c r="M15" i="7"/>
  <c r="W14" i="7"/>
  <c r="V14" i="7"/>
  <c r="U14" i="7"/>
  <c r="T14" i="7"/>
  <c r="N14" i="7"/>
  <c r="M14" i="7"/>
  <c r="W13" i="7"/>
  <c r="V13" i="7"/>
  <c r="U13" i="7"/>
  <c r="T13" i="7"/>
  <c r="N13" i="7"/>
  <c r="M13" i="7"/>
  <c r="W12" i="7"/>
  <c r="V12" i="7"/>
  <c r="U12" i="7"/>
  <c r="T12" i="7"/>
  <c r="N12" i="7"/>
  <c r="M12" i="7"/>
  <c r="W11" i="7"/>
  <c r="V11" i="7"/>
  <c r="U11" i="7"/>
  <c r="T11" i="7"/>
  <c r="N11" i="7"/>
  <c r="M11" i="7"/>
  <c r="W10" i="7"/>
  <c r="V10" i="7"/>
  <c r="U10" i="7"/>
  <c r="T10" i="7"/>
  <c r="N10" i="7"/>
  <c r="M10" i="7"/>
  <c r="W9" i="7"/>
  <c r="V9" i="7"/>
  <c r="U9" i="7"/>
  <c r="T9" i="7"/>
  <c r="N9" i="7"/>
  <c r="M9" i="7"/>
  <c r="W8" i="7"/>
  <c r="V8" i="7"/>
  <c r="U8" i="7"/>
  <c r="T8" i="7"/>
  <c r="N8" i="7"/>
  <c r="M8" i="7"/>
  <c r="W7" i="7"/>
  <c r="V7" i="7"/>
  <c r="U7" i="7"/>
  <c r="T7" i="7"/>
  <c r="N7" i="7"/>
  <c r="M7" i="7"/>
  <c r="W6" i="7"/>
  <c r="V6" i="7"/>
  <c r="U6" i="7"/>
  <c r="T6" i="7"/>
  <c r="N6" i="7"/>
  <c r="M6" i="7"/>
  <c r="T5" i="7"/>
  <c r="V5" i="7" s="1"/>
  <c r="N5" i="7"/>
  <c r="U5" i="7" s="1"/>
  <c r="U25" i="7" s="1"/>
  <c r="M5" i="7"/>
  <c r="M25" i="7" s="1"/>
  <c r="S25" i="6"/>
  <c r="R25" i="6"/>
  <c r="Q25" i="6"/>
  <c r="P25" i="6"/>
  <c r="L25" i="6"/>
  <c r="K25" i="6"/>
  <c r="J25" i="6"/>
  <c r="I25" i="6"/>
  <c r="H25" i="6"/>
  <c r="G25" i="6"/>
  <c r="F25" i="6"/>
  <c r="E25" i="6"/>
  <c r="D25" i="6"/>
  <c r="C25" i="6"/>
  <c r="B25" i="6"/>
  <c r="W24" i="6"/>
  <c r="V24" i="6"/>
  <c r="U24" i="6"/>
  <c r="T24" i="6"/>
  <c r="N24" i="6"/>
  <c r="M24" i="6"/>
  <c r="W23" i="6"/>
  <c r="V23" i="6"/>
  <c r="U23" i="6"/>
  <c r="T23" i="6"/>
  <c r="N23" i="6"/>
  <c r="M23" i="6"/>
  <c r="W22" i="6"/>
  <c r="V22" i="6"/>
  <c r="U22" i="6"/>
  <c r="T22" i="6"/>
  <c r="N22" i="6"/>
  <c r="M22" i="6"/>
  <c r="W21" i="6"/>
  <c r="V21" i="6"/>
  <c r="U21" i="6"/>
  <c r="T21" i="6"/>
  <c r="N21" i="6"/>
  <c r="M21" i="6"/>
  <c r="W20" i="6"/>
  <c r="V20" i="6"/>
  <c r="U20" i="6"/>
  <c r="T20" i="6"/>
  <c r="N20" i="6"/>
  <c r="M20" i="6"/>
  <c r="W19" i="6"/>
  <c r="V19" i="6"/>
  <c r="U19" i="6"/>
  <c r="T19" i="6"/>
  <c r="N19" i="6"/>
  <c r="M19" i="6"/>
  <c r="W18" i="6"/>
  <c r="V18" i="6"/>
  <c r="U18" i="6"/>
  <c r="T18" i="6"/>
  <c r="N18" i="6"/>
  <c r="M18" i="6"/>
  <c r="W17" i="6"/>
  <c r="V17" i="6"/>
  <c r="U17" i="6"/>
  <c r="T17" i="6"/>
  <c r="N17" i="6"/>
  <c r="M17" i="6"/>
  <c r="W16" i="6"/>
  <c r="V16" i="6"/>
  <c r="U16" i="6"/>
  <c r="T16" i="6"/>
  <c r="N16" i="6"/>
  <c r="M16" i="6"/>
  <c r="W15" i="6"/>
  <c r="V15" i="6"/>
  <c r="U15" i="6"/>
  <c r="T15" i="6"/>
  <c r="N15" i="6"/>
  <c r="M15" i="6"/>
  <c r="W14" i="6"/>
  <c r="V14" i="6"/>
  <c r="U14" i="6"/>
  <c r="T14" i="6"/>
  <c r="N14" i="6"/>
  <c r="M14" i="6"/>
  <c r="W13" i="6"/>
  <c r="V13" i="6"/>
  <c r="U13" i="6"/>
  <c r="T13" i="6"/>
  <c r="N13" i="6"/>
  <c r="M13" i="6"/>
  <c r="W12" i="6"/>
  <c r="V12" i="6"/>
  <c r="U12" i="6"/>
  <c r="T12" i="6"/>
  <c r="N12" i="6"/>
  <c r="M12" i="6"/>
  <c r="V11" i="6"/>
  <c r="U11" i="6"/>
  <c r="W11" i="6" s="1"/>
  <c r="T11" i="6"/>
  <c r="N11" i="6"/>
  <c r="M11" i="6"/>
  <c r="V10" i="6"/>
  <c r="T10" i="6"/>
  <c r="N10" i="6"/>
  <c r="U10" i="6" s="1"/>
  <c r="W10" i="6" s="1"/>
  <c r="M10" i="6"/>
  <c r="V9" i="6"/>
  <c r="U9" i="6"/>
  <c r="W9" i="6" s="1"/>
  <c r="T9" i="6"/>
  <c r="N9" i="6"/>
  <c r="M9" i="6"/>
  <c r="V8" i="6"/>
  <c r="T8" i="6"/>
  <c r="N8" i="6"/>
  <c r="U8" i="6" s="1"/>
  <c r="M8" i="6"/>
  <c r="V7" i="6"/>
  <c r="T7" i="6"/>
  <c r="N7" i="6"/>
  <c r="U7" i="6" s="1"/>
  <c r="W7" i="6" s="1"/>
  <c r="M7" i="6"/>
  <c r="V6" i="6"/>
  <c r="U6" i="6"/>
  <c r="W6" i="6" s="1"/>
  <c r="T6" i="6"/>
  <c r="N6" i="6"/>
  <c r="M6" i="6"/>
  <c r="T5" i="6"/>
  <c r="V5" i="6" s="1"/>
  <c r="N5" i="6"/>
  <c r="U5" i="6" s="1"/>
  <c r="M5" i="6"/>
  <c r="W25" i="5"/>
  <c r="V25" i="5"/>
  <c r="U25" i="5"/>
  <c r="T25" i="5"/>
  <c r="S25" i="5"/>
  <c r="R25" i="5"/>
  <c r="Q25" i="5"/>
  <c r="P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W24" i="5"/>
  <c r="V24" i="5"/>
  <c r="U24" i="5"/>
  <c r="T24" i="5"/>
  <c r="N24" i="5"/>
  <c r="M24" i="5"/>
  <c r="W23" i="5"/>
  <c r="V23" i="5"/>
  <c r="U23" i="5"/>
  <c r="T23" i="5"/>
  <c r="N23" i="5"/>
  <c r="M23" i="5"/>
  <c r="W22" i="5"/>
  <c r="V22" i="5"/>
  <c r="U22" i="5"/>
  <c r="T22" i="5"/>
  <c r="N22" i="5"/>
  <c r="M22" i="5"/>
  <c r="W21" i="5"/>
  <c r="V21" i="5"/>
  <c r="U21" i="5"/>
  <c r="T21" i="5"/>
  <c r="N21" i="5"/>
  <c r="M21" i="5"/>
  <c r="W20" i="5"/>
  <c r="V20" i="5"/>
  <c r="U20" i="5"/>
  <c r="T20" i="5"/>
  <c r="N20" i="5"/>
  <c r="M20" i="5"/>
  <c r="W19" i="5"/>
  <c r="V19" i="5"/>
  <c r="U19" i="5"/>
  <c r="T19" i="5"/>
  <c r="N19" i="5"/>
  <c r="M19" i="5"/>
  <c r="W18" i="5"/>
  <c r="V18" i="5"/>
  <c r="U18" i="5"/>
  <c r="T18" i="5"/>
  <c r="N18" i="5"/>
  <c r="M18" i="5"/>
  <c r="W17" i="5"/>
  <c r="V17" i="5"/>
  <c r="U17" i="5"/>
  <c r="T17" i="5"/>
  <c r="N17" i="5"/>
  <c r="M17" i="5"/>
  <c r="W16" i="5"/>
  <c r="V16" i="5"/>
  <c r="U16" i="5"/>
  <c r="T16" i="5"/>
  <c r="N16" i="5"/>
  <c r="M16" i="5"/>
  <c r="W15" i="5"/>
  <c r="V15" i="5"/>
  <c r="U15" i="5"/>
  <c r="T15" i="5"/>
  <c r="N15" i="5"/>
  <c r="M15" i="5"/>
  <c r="W14" i="5"/>
  <c r="V14" i="5"/>
  <c r="U14" i="5"/>
  <c r="T14" i="5"/>
  <c r="N14" i="5"/>
  <c r="M14" i="5"/>
  <c r="W13" i="5"/>
  <c r="V13" i="5"/>
  <c r="U13" i="5"/>
  <c r="T13" i="5"/>
  <c r="N13" i="5"/>
  <c r="M13" i="5"/>
  <c r="W12" i="5"/>
  <c r="V12" i="5"/>
  <c r="U12" i="5"/>
  <c r="T12" i="5"/>
  <c r="N12" i="5"/>
  <c r="M12" i="5"/>
  <c r="W11" i="5"/>
  <c r="V11" i="5"/>
  <c r="U11" i="5"/>
  <c r="T11" i="5"/>
  <c r="N11" i="5"/>
  <c r="M11" i="5"/>
  <c r="W10" i="5"/>
  <c r="V10" i="5"/>
  <c r="U10" i="5"/>
  <c r="T10" i="5"/>
  <c r="N10" i="5"/>
  <c r="M10" i="5"/>
  <c r="W9" i="5"/>
  <c r="V9" i="5"/>
  <c r="U9" i="5"/>
  <c r="T9" i="5"/>
  <c r="N9" i="5"/>
  <c r="M9" i="5"/>
  <c r="W8" i="5"/>
  <c r="V8" i="5"/>
  <c r="U8" i="5"/>
  <c r="T8" i="5"/>
  <c r="N8" i="5"/>
  <c r="M8" i="5"/>
  <c r="W7" i="5"/>
  <c r="V7" i="5"/>
  <c r="U7" i="5"/>
  <c r="T7" i="5"/>
  <c r="N7" i="5"/>
  <c r="M7" i="5"/>
  <c r="W6" i="5"/>
  <c r="V6" i="5"/>
  <c r="U6" i="5"/>
  <c r="T6" i="5"/>
  <c r="N6" i="5"/>
  <c r="M6" i="5"/>
  <c r="W5" i="5"/>
  <c r="V5" i="5"/>
  <c r="U5" i="5"/>
  <c r="T5" i="5"/>
  <c r="N5" i="5"/>
  <c r="M5" i="5"/>
  <c r="S25" i="4"/>
  <c r="R25" i="4"/>
  <c r="Q25" i="4"/>
  <c r="P25" i="4"/>
  <c r="L25" i="4"/>
  <c r="K25" i="4"/>
  <c r="K5" i="1" s="1"/>
  <c r="J25" i="4"/>
  <c r="I25" i="4"/>
  <c r="H25" i="4"/>
  <c r="G25" i="4"/>
  <c r="F25" i="4"/>
  <c r="E25" i="4"/>
  <c r="D25" i="4"/>
  <c r="C25" i="4"/>
  <c r="B25" i="4"/>
  <c r="W24" i="4"/>
  <c r="V24" i="4"/>
  <c r="U24" i="4"/>
  <c r="T24" i="4"/>
  <c r="N24" i="4"/>
  <c r="M24" i="4"/>
  <c r="W23" i="4"/>
  <c r="V23" i="4"/>
  <c r="U23" i="4"/>
  <c r="T23" i="4"/>
  <c r="N23" i="4"/>
  <c r="M23" i="4"/>
  <c r="W22" i="4"/>
  <c r="V22" i="4"/>
  <c r="U22" i="4"/>
  <c r="T22" i="4"/>
  <c r="N22" i="4"/>
  <c r="M22" i="4"/>
  <c r="W21" i="4"/>
  <c r="V21" i="4"/>
  <c r="U21" i="4"/>
  <c r="T21" i="4"/>
  <c r="N21" i="4"/>
  <c r="M21" i="4"/>
  <c r="W20" i="4"/>
  <c r="V20" i="4"/>
  <c r="U20" i="4"/>
  <c r="T20" i="4"/>
  <c r="N20" i="4"/>
  <c r="M20" i="4"/>
  <c r="W19" i="4"/>
  <c r="V19" i="4"/>
  <c r="U19" i="4"/>
  <c r="T19" i="4"/>
  <c r="N19" i="4"/>
  <c r="M19" i="4"/>
  <c r="W18" i="4"/>
  <c r="V18" i="4"/>
  <c r="U18" i="4"/>
  <c r="T18" i="4"/>
  <c r="N18" i="4"/>
  <c r="M18" i="4"/>
  <c r="W17" i="4"/>
  <c r="V17" i="4"/>
  <c r="U17" i="4"/>
  <c r="T17" i="4"/>
  <c r="N17" i="4"/>
  <c r="M17" i="4"/>
  <c r="W16" i="4"/>
  <c r="V16" i="4"/>
  <c r="U16" i="4"/>
  <c r="T16" i="4"/>
  <c r="N16" i="4"/>
  <c r="M16" i="4"/>
  <c r="W15" i="4"/>
  <c r="V15" i="4"/>
  <c r="U15" i="4"/>
  <c r="T15" i="4"/>
  <c r="N15" i="4"/>
  <c r="M15" i="4"/>
  <c r="W14" i="4"/>
  <c r="V14" i="4"/>
  <c r="U14" i="4"/>
  <c r="T14" i="4"/>
  <c r="N14" i="4"/>
  <c r="M14" i="4"/>
  <c r="W13" i="4"/>
  <c r="V13" i="4"/>
  <c r="U13" i="4"/>
  <c r="T13" i="4"/>
  <c r="N13" i="4"/>
  <c r="M13" i="4"/>
  <c r="W12" i="4"/>
  <c r="V12" i="4"/>
  <c r="U12" i="4"/>
  <c r="T12" i="4"/>
  <c r="N12" i="4"/>
  <c r="M12" i="4"/>
  <c r="W11" i="4"/>
  <c r="V11" i="4"/>
  <c r="U11" i="4"/>
  <c r="T11" i="4"/>
  <c r="N11" i="4"/>
  <c r="M11" i="4"/>
  <c r="V10" i="4"/>
  <c r="T10" i="4"/>
  <c r="N10" i="4"/>
  <c r="U10" i="4" s="1"/>
  <c r="W10" i="4" s="1"/>
  <c r="M10" i="4"/>
  <c r="V9" i="4"/>
  <c r="U9" i="4"/>
  <c r="W9" i="4" s="1"/>
  <c r="T9" i="4"/>
  <c r="N9" i="4"/>
  <c r="M9" i="4"/>
  <c r="V8" i="4"/>
  <c r="U8" i="4"/>
  <c r="W8" i="4" s="1"/>
  <c r="T8" i="4"/>
  <c r="N8" i="4"/>
  <c r="M8" i="4"/>
  <c r="V7" i="4"/>
  <c r="T7" i="4"/>
  <c r="N7" i="4"/>
  <c r="U7" i="4" s="1"/>
  <c r="W7" i="4" s="1"/>
  <c r="M7" i="4"/>
  <c r="V6" i="4"/>
  <c r="T6" i="4"/>
  <c r="N6" i="4"/>
  <c r="U6" i="4" s="1"/>
  <c r="W6" i="4" s="1"/>
  <c r="M6" i="4"/>
  <c r="V5" i="4"/>
  <c r="T5" i="4"/>
  <c r="T25" i="4" s="1"/>
  <c r="N5" i="4"/>
  <c r="N25" i="4" s="1"/>
  <c r="M5" i="4"/>
  <c r="M25" i="4" s="1"/>
  <c r="W25" i="3"/>
  <c r="V25" i="3"/>
  <c r="U25" i="3"/>
  <c r="T25" i="3"/>
  <c r="S25" i="3"/>
  <c r="R25" i="3"/>
  <c r="Q25" i="3"/>
  <c r="P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W24" i="3"/>
  <c r="V24" i="3"/>
  <c r="U24" i="3"/>
  <c r="T24" i="3"/>
  <c r="N24" i="3"/>
  <c r="M24" i="3"/>
  <c r="W23" i="3"/>
  <c r="V23" i="3"/>
  <c r="U23" i="3"/>
  <c r="T23" i="3"/>
  <c r="N23" i="3"/>
  <c r="M23" i="3"/>
  <c r="W22" i="3"/>
  <c r="V22" i="3"/>
  <c r="U22" i="3"/>
  <c r="T22" i="3"/>
  <c r="N22" i="3"/>
  <c r="M22" i="3"/>
  <c r="W21" i="3"/>
  <c r="V21" i="3"/>
  <c r="U21" i="3"/>
  <c r="T21" i="3"/>
  <c r="N21" i="3"/>
  <c r="M21" i="3"/>
  <c r="W20" i="3"/>
  <c r="V20" i="3"/>
  <c r="U20" i="3"/>
  <c r="T20" i="3"/>
  <c r="N20" i="3"/>
  <c r="M20" i="3"/>
  <c r="W19" i="3"/>
  <c r="V19" i="3"/>
  <c r="U19" i="3"/>
  <c r="T19" i="3"/>
  <c r="N19" i="3"/>
  <c r="M19" i="3"/>
  <c r="W18" i="3"/>
  <c r="V18" i="3"/>
  <c r="U18" i="3"/>
  <c r="T18" i="3"/>
  <c r="N18" i="3"/>
  <c r="M18" i="3"/>
  <c r="W17" i="3"/>
  <c r="V17" i="3"/>
  <c r="U17" i="3"/>
  <c r="T17" i="3"/>
  <c r="N17" i="3"/>
  <c r="M17" i="3"/>
  <c r="W16" i="3"/>
  <c r="V16" i="3"/>
  <c r="U16" i="3"/>
  <c r="T16" i="3"/>
  <c r="N16" i="3"/>
  <c r="M16" i="3"/>
  <c r="W15" i="3"/>
  <c r="V15" i="3"/>
  <c r="U15" i="3"/>
  <c r="T15" i="3"/>
  <c r="N15" i="3"/>
  <c r="M15" i="3"/>
  <c r="W14" i="3"/>
  <c r="V14" i="3"/>
  <c r="U14" i="3"/>
  <c r="T14" i="3"/>
  <c r="N14" i="3"/>
  <c r="M14" i="3"/>
  <c r="W13" i="3"/>
  <c r="V13" i="3"/>
  <c r="U13" i="3"/>
  <c r="T13" i="3"/>
  <c r="N13" i="3"/>
  <c r="M13" i="3"/>
  <c r="W12" i="3"/>
  <c r="V12" i="3"/>
  <c r="U12" i="3"/>
  <c r="T12" i="3"/>
  <c r="N12" i="3"/>
  <c r="M12" i="3"/>
  <c r="W11" i="3"/>
  <c r="V11" i="3"/>
  <c r="U11" i="3"/>
  <c r="T11" i="3"/>
  <c r="N11" i="3"/>
  <c r="M11" i="3"/>
  <c r="W10" i="3"/>
  <c r="V10" i="3"/>
  <c r="U10" i="3"/>
  <c r="T10" i="3"/>
  <c r="N10" i="3"/>
  <c r="M10" i="3"/>
  <c r="W9" i="3"/>
  <c r="V9" i="3"/>
  <c r="U9" i="3"/>
  <c r="T9" i="3"/>
  <c r="N9" i="3"/>
  <c r="M9" i="3"/>
  <c r="W8" i="3"/>
  <c r="V8" i="3"/>
  <c r="U8" i="3"/>
  <c r="T8" i="3"/>
  <c r="N8" i="3"/>
  <c r="M8" i="3"/>
  <c r="W7" i="3"/>
  <c r="V7" i="3"/>
  <c r="U7" i="3"/>
  <c r="T7" i="3"/>
  <c r="N7" i="3"/>
  <c r="M7" i="3"/>
  <c r="W6" i="3"/>
  <c r="V6" i="3"/>
  <c r="U6" i="3"/>
  <c r="T6" i="3"/>
  <c r="N6" i="3"/>
  <c r="M6" i="3"/>
  <c r="W5" i="3"/>
  <c r="V5" i="3"/>
  <c r="U5" i="3"/>
  <c r="T5" i="3"/>
  <c r="N5" i="3"/>
  <c r="M5" i="3"/>
  <c r="L42" i="1"/>
  <c r="K42" i="1"/>
  <c r="J42" i="1"/>
  <c r="I42" i="1"/>
  <c r="H42" i="1"/>
  <c r="G42" i="1"/>
  <c r="F42" i="1"/>
  <c r="E42" i="1"/>
  <c r="D42" i="1"/>
  <c r="C42" i="1"/>
  <c r="B42" i="1"/>
  <c r="M41" i="1"/>
  <c r="M40" i="1"/>
  <c r="M39" i="1"/>
  <c r="M38" i="1"/>
  <c r="M37" i="1"/>
  <c r="M36" i="1"/>
  <c r="M35" i="1"/>
  <c r="M34" i="1"/>
  <c r="M33" i="1"/>
  <c r="M32" i="1"/>
  <c r="M31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L23" i="1"/>
  <c r="K23" i="1"/>
  <c r="J23" i="1"/>
  <c r="I23" i="1"/>
  <c r="H23" i="1"/>
  <c r="G23" i="1"/>
  <c r="F23" i="1"/>
  <c r="E23" i="1"/>
  <c r="D23" i="1"/>
  <c r="C23" i="1"/>
  <c r="B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L21" i="1"/>
  <c r="N21" i="1" s="1"/>
  <c r="K21" i="1"/>
  <c r="J21" i="1"/>
  <c r="I21" i="1"/>
  <c r="H21" i="1"/>
  <c r="G21" i="1"/>
  <c r="F21" i="1"/>
  <c r="E21" i="1"/>
  <c r="D21" i="1"/>
  <c r="C21" i="1"/>
  <c r="B21" i="1"/>
  <c r="M21" i="1" s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L19" i="1"/>
  <c r="K19" i="1"/>
  <c r="I19" i="1"/>
  <c r="H19" i="1"/>
  <c r="G19" i="1"/>
  <c r="F19" i="1"/>
  <c r="E19" i="1"/>
  <c r="D19" i="1"/>
  <c r="C19" i="1"/>
  <c r="B19" i="1"/>
  <c r="L18" i="1"/>
  <c r="N18" i="1" s="1"/>
  <c r="K18" i="1"/>
  <c r="J18" i="1"/>
  <c r="I18" i="1"/>
  <c r="H18" i="1"/>
  <c r="G18" i="1"/>
  <c r="F18" i="1"/>
  <c r="E18" i="1"/>
  <c r="D18" i="1"/>
  <c r="C18" i="1"/>
  <c r="B18" i="1"/>
  <c r="L17" i="1"/>
  <c r="K17" i="1"/>
  <c r="J17" i="1"/>
  <c r="I17" i="1"/>
  <c r="H17" i="1"/>
  <c r="G17" i="1"/>
  <c r="F17" i="1"/>
  <c r="E17" i="1"/>
  <c r="D17" i="1"/>
  <c r="C17" i="1"/>
  <c r="B17" i="1"/>
  <c r="L16" i="1"/>
  <c r="K16" i="1"/>
  <c r="J16" i="1"/>
  <c r="I16" i="1"/>
  <c r="H16" i="1"/>
  <c r="G16" i="1"/>
  <c r="F16" i="1"/>
  <c r="E16" i="1"/>
  <c r="D16" i="1"/>
  <c r="C16" i="1"/>
  <c r="B16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L14" i="1"/>
  <c r="K14" i="1"/>
  <c r="J14" i="1"/>
  <c r="I14" i="1"/>
  <c r="H14" i="1"/>
  <c r="G14" i="1"/>
  <c r="F14" i="1"/>
  <c r="E14" i="1"/>
  <c r="D14" i="1"/>
  <c r="C14" i="1"/>
  <c r="B14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L12" i="1"/>
  <c r="K12" i="1"/>
  <c r="J12" i="1"/>
  <c r="I12" i="1"/>
  <c r="H12" i="1"/>
  <c r="G12" i="1"/>
  <c r="F12" i="1"/>
  <c r="E12" i="1"/>
  <c r="D12" i="1"/>
  <c r="C12" i="1"/>
  <c r="B12" i="1"/>
  <c r="L11" i="1"/>
  <c r="K11" i="1"/>
  <c r="J11" i="1"/>
  <c r="I11" i="1"/>
  <c r="H11" i="1"/>
  <c r="G11" i="1"/>
  <c r="F11" i="1"/>
  <c r="E11" i="1"/>
  <c r="D11" i="1"/>
  <c r="C11" i="1"/>
  <c r="B11" i="1"/>
  <c r="O10" i="1"/>
  <c r="L10" i="1"/>
  <c r="K10" i="1"/>
  <c r="J10" i="1"/>
  <c r="I10" i="1"/>
  <c r="H10" i="1"/>
  <c r="G10" i="1"/>
  <c r="F10" i="1"/>
  <c r="E10" i="1"/>
  <c r="D10" i="1"/>
  <c r="C10" i="1"/>
  <c r="B10" i="1"/>
  <c r="M10" i="1" s="1"/>
  <c r="O9" i="1"/>
  <c r="L9" i="1"/>
  <c r="K9" i="1"/>
  <c r="N9" i="1" s="1"/>
  <c r="J9" i="1"/>
  <c r="I9" i="1"/>
  <c r="H9" i="1"/>
  <c r="G9" i="1"/>
  <c r="F9" i="1"/>
  <c r="E9" i="1"/>
  <c r="D9" i="1"/>
  <c r="C9" i="1"/>
  <c r="B9" i="1"/>
  <c r="M9" i="1" s="1"/>
  <c r="L8" i="1"/>
  <c r="K8" i="1"/>
  <c r="J8" i="1"/>
  <c r="I8" i="1"/>
  <c r="H8" i="1"/>
  <c r="G8" i="1"/>
  <c r="F8" i="1"/>
  <c r="E8" i="1"/>
  <c r="D8" i="1"/>
  <c r="C8" i="1"/>
  <c r="N8" i="1" s="1"/>
  <c r="B8" i="1"/>
  <c r="L7" i="1"/>
  <c r="K7" i="1"/>
  <c r="N7" i="1" s="1"/>
  <c r="J7" i="1"/>
  <c r="I7" i="1"/>
  <c r="H7" i="1"/>
  <c r="G7" i="1"/>
  <c r="F7" i="1"/>
  <c r="E7" i="1"/>
  <c r="D7" i="1"/>
  <c r="C7" i="1"/>
  <c r="B7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L5" i="1"/>
  <c r="J5" i="1"/>
  <c r="I5" i="1"/>
  <c r="H5" i="1"/>
  <c r="G5" i="1"/>
  <c r="G26" i="1" s="1"/>
  <c r="G44" i="1" s="1"/>
  <c r="F5" i="1"/>
  <c r="E5" i="1"/>
  <c r="D5" i="1"/>
  <c r="C5" i="1"/>
  <c r="B5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W5" i="8" l="1"/>
  <c r="W25" i="8" s="1"/>
  <c r="P9" i="1" s="1"/>
  <c r="N14" i="1"/>
  <c r="M14" i="1"/>
  <c r="M8" i="1"/>
  <c r="N23" i="1"/>
  <c r="W9" i="22"/>
  <c r="W12" i="22"/>
  <c r="W15" i="22"/>
  <c r="W11" i="22"/>
  <c r="W14" i="22"/>
  <c r="W7" i="22"/>
  <c r="W6" i="22"/>
  <c r="W10" i="22"/>
  <c r="N25" i="22"/>
  <c r="U5" i="20"/>
  <c r="U25" i="20" s="1"/>
  <c r="W5" i="20"/>
  <c r="W25" i="20" s="1"/>
  <c r="P21" i="1" s="1"/>
  <c r="V25" i="20"/>
  <c r="O21" i="1" s="1"/>
  <c r="W6" i="18"/>
  <c r="W10" i="18"/>
  <c r="W14" i="18"/>
  <c r="W18" i="18"/>
  <c r="W22" i="18"/>
  <c r="W4" i="18"/>
  <c r="W8" i="18"/>
  <c r="W12" i="18"/>
  <c r="W16" i="18"/>
  <c r="W20" i="18"/>
  <c r="W25" i="18"/>
  <c r="W9" i="16"/>
  <c r="W12" i="16"/>
  <c r="W17" i="16"/>
  <c r="W20" i="16"/>
  <c r="W11" i="16"/>
  <c r="W19" i="16"/>
  <c r="W5" i="16"/>
  <c r="W8" i="16"/>
  <c r="W13" i="16"/>
  <c r="W16" i="16"/>
  <c r="W21" i="16"/>
  <c r="W10" i="16"/>
  <c r="W18" i="16"/>
  <c r="U5" i="17"/>
  <c r="W5" i="17" s="1"/>
  <c r="W35" i="17" s="1"/>
  <c r="P18" i="1" s="1"/>
  <c r="M35" i="15"/>
  <c r="N35" i="15"/>
  <c r="L26" i="1"/>
  <c r="L44" i="1" s="1"/>
  <c r="L46" i="1" s="1"/>
  <c r="L48" i="1" s="1"/>
  <c r="V5" i="15"/>
  <c r="E26" i="1"/>
  <c r="E44" i="1" s="1"/>
  <c r="E46" i="1" s="1"/>
  <c r="E48" i="1" s="1"/>
  <c r="I26" i="1"/>
  <c r="I44" i="1" s="1"/>
  <c r="I46" i="1" s="1"/>
  <c r="I48" i="1" s="1"/>
  <c r="U5" i="13"/>
  <c r="U25" i="13" s="1"/>
  <c r="V25" i="13"/>
  <c r="O14" i="1" s="1"/>
  <c r="M12" i="1"/>
  <c r="U5" i="9"/>
  <c r="U25" i="9" s="1"/>
  <c r="N11" i="1"/>
  <c r="M11" i="1"/>
  <c r="V25" i="9"/>
  <c r="N25" i="10"/>
  <c r="M25" i="10"/>
  <c r="N10" i="1"/>
  <c r="D26" i="1"/>
  <c r="D44" i="1" s="1"/>
  <c r="D46" i="1" s="1"/>
  <c r="D48" i="1" s="1"/>
  <c r="H26" i="1"/>
  <c r="H44" i="1" s="1"/>
  <c r="H46" i="1" s="1"/>
  <c r="H48" i="1" s="1"/>
  <c r="U6" i="10"/>
  <c r="V5" i="10"/>
  <c r="B26" i="1"/>
  <c r="B44" i="1" s="1"/>
  <c r="B46" i="1" s="1"/>
  <c r="B48" i="1" s="1"/>
  <c r="N25" i="7"/>
  <c r="W5" i="7"/>
  <c r="W25" i="7" s="1"/>
  <c r="P8" i="1" s="1"/>
  <c r="V25" i="7"/>
  <c r="O8" i="1" s="1"/>
  <c r="M25" i="6"/>
  <c r="V25" i="6"/>
  <c r="O7" i="1" s="1"/>
  <c r="W5" i="6"/>
  <c r="T25" i="6"/>
  <c r="F26" i="1"/>
  <c r="F44" i="1" s="1"/>
  <c r="F46" i="1" s="1"/>
  <c r="F48" i="1" s="1"/>
  <c r="C26" i="1"/>
  <c r="C44" i="1" s="1"/>
  <c r="C46" i="1" s="1"/>
  <c r="G46" i="1"/>
  <c r="G48" i="1" s="1"/>
  <c r="J26" i="1"/>
  <c r="J44" i="1" s="1"/>
  <c r="J46" i="1" s="1"/>
  <c r="J48" i="1" s="1"/>
  <c r="N5" i="1"/>
  <c r="M5" i="1"/>
  <c r="U5" i="4"/>
  <c r="U25" i="4" s="1"/>
  <c r="V25" i="4"/>
  <c r="O5" i="1" s="1"/>
  <c r="W28" i="18"/>
  <c r="U8" i="15"/>
  <c r="W8" i="15" s="1"/>
  <c r="N17" i="1"/>
  <c r="W26" i="16"/>
  <c r="T35" i="16"/>
  <c r="N35" i="16"/>
  <c r="M16" i="1"/>
  <c r="N16" i="1"/>
  <c r="W27" i="18"/>
  <c r="T25" i="22"/>
  <c r="W8" i="22"/>
  <c r="M17" i="1"/>
  <c r="M35" i="16"/>
  <c r="U25" i="16"/>
  <c r="W25" i="16" s="1"/>
  <c r="T34" i="18"/>
  <c r="W26" i="18"/>
  <c r="M34" i="18"/>
  <c r="W8" i="6"/>
  <c r="U25" i="6"/>
  <c r="M7" i="1"/>
  <c r="N25" i="6"/>
  <c r="M42" i="1"/>
  <c r="V5" i="22"/>
  <c r="V25" i="22" s="1"/>
  <c r="O23" i="1" s="1"/>
  <c r="W5" i="22"/>
  <c r="M25" i="22"/>
  <c r="U13" i="22"/>
  <c r="M23" i="1"/>
  <c r="U25" i="11"/>
  <c r="W6" i="11"/>
  <c r="W25" i="11" s="1"/>
  <c r="P12" i="1" s="1"/>
  <c r="N12" i="1"/>
  <c r="K26" i="1"/>
  <c r="K44" i="1" s="1"/>
  <c r="K46" i="1" s="1"/>
  <c r="K48" i="1" s="1"/>
  <c r="N25" i="11"/>
  <c r="V24" i="16"/>
  <c r="V35" i="16" s="1"/>
  <c r="O17" i="1" s="1"/>
  <c r="U35" i="16"/>
  <c r="N34" i="18"/>
  <c r="T35" i="17"/>
  <c r="U35" i="17"/>
  <c r="M18" i="1"/>
  <c r="V24" i="18"/>
  <c r="V34" i="18" s="1"/>
  <c r="O19" i="1" s="1"/>
  <c r="U24" i="18"/>
  <c r="U34" i="18" s="1"/>
  <c r="M19" i="1"/>
  <c r="N19" i="1"/>
  <c r="W24" i="16" l="1"/>
  <c r="W35" i="16" s="1"/>
  <c r="P17" i="1" s="1"/>
  <c r="U35" i="15"/>
  <c r="W5" i="15"/>
  <c r="W35" i="15" s="1"/>
  <c r="P16" i="1" s="1"/>
  <c r="V35" i="15"/>
  <c r="O16" i="1" s="1"/>
  <c r="O26" i="1" s="1"/>
  <c r="W5" i="13"/>
  <c r="W25" i="13" s="1"/>
  <c r="P14" i="1" s="1"/>
  <c r="W5" i="9"/>
  <c r="W25" i="9" s="1"/>
  <c r="P11" i="1" s="1"/>
  <c r="W6" i="10"/>
  <c r="U25" i="10"/>
  <c r="V25" i="10"/>
  <c r="O11" i="1" s="1"/>
  <c r="W5" i="10"/>
  <c r="W25" i="6"/>
  <c r="P7" i="1" s="1"/>
  <c r="W5" i="4"/>
  <c r="W25" i="4" s="1"/>
  <c r="P5" i="1" s="1"/>
  <c r="M26" i="1"/>
  <c r="U25" i="22"/>
  <c r="W13" i="22"/>
  <c r="W25" i="22" s="1"/>
  <c r="P23" i="1" s="1"/>
  <c r="M44" i="1"/>
  <c r="N26" i="1"/>
  <c r="W24" i="18"/>
  <c r="W34" i="18" s="1"/>
  <c r="P19" i="1" s="1"/>
  <c r="M46" i="1"/>
  <c r="C48" i="1"/>
  <c r="M48" i="1" s="1"/>
  <c r="W25" i="10" l="1"/>
  <c r="P10" i="1" s="1"/>
  <c r="P26" i="1"/>
</calcChain>
</file>

<file path=xl/comments1.xml><?xml version="1.0" encoding="utf-8"?>
<comments xmlns="http://schemas.openxmlformats.org/spreadsheetml/2006/main">
  <authors>
    <author>COMPUTER LINKS</author>
  </authors>
  <commentList>
    <comment ref="B5" authorId="0">
      <text>
        <r>
          <rPr>
            <b/>
            <sz val="9"/>
            <color indexed="81"/>
            <rFont val="Tahoma"/>
            <charset val="1"/>
          </rPr>
          <t>Dso ghulam ali</t>
        </r>
      </text>
    </comment>
    <comment ref="K5" authorId="0">
      <text>
        <r>
          <rPr>
            <b/>
            <sz val="9"/>
            <color indexed="81"/>
            <rFont val="Tahoma"/>
            <charset val="1"/>
          </rPr>
          <t>dso ghulam ali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K6" authorId="0">
      <text>
        <r>
          <rPr>
            <b/>
            <sz val="9"/>
            <rFont val="Tahoma"/>
            <family val="2"/>
          </rPr>
          <t>dso hasan 10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W3" authorId="0">
      <text>
        <r>
          <rPr>
            <b/>
            <sz val="9"/>
            <rFont val="Tahoma"/>
            <family val="2"/>
          </rPr>
          <t>MNP IMSI 20*390 =7800
LOAD 5000
TOTAL 12800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W3" authorId="0">
      <text>
        <r>
          <rPr>
            <sz val="9"/>
            <rFont val="Tahoma"/>
            <family val="2"/>
          </rPr>
          <t xml:space="preserve">IMSI 20*390 = 7800
LOAD 15000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W2" authorId="0">
      <text>
        <r>
          <rPr>
            <b/>
            <sz val="9"/>
            <rFont val="Tahoma"/>
            <family val="2"/>
          </rPr>
          <t xml:space="preserve">imsi 40*390 =15600
LOOAD 5000
e sim 5*2000
Awami sim 40*280
TOTAL 14800
</t>
        </r>
      </text>
    </comment>
  </commentList>
</comments>
</file>

<file path=xl/comments6.xml><?xml version="1.0" encoding="utf-8"?>
<comments xmlns="http://schemas.openxmlformats.org/spreadsheetml/2006/main">
  <authors>
    <author>COMPUTER LINKS</author>
  </authors>
  <commentList>
    <comment ref="K9" authorId="0">
      <text>
        <r>
          <rPr>
            <b/>
            <sz val="9"/>
            <color indexed="81"/>
            <rFont val="Tahoma"/>
            <charset val="1"/>
          </rPr>
          <t>01-September 100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<sst xmlns="http://schemas.openxmlformats.org/spreadsheetml/2006/main" count="766" uniqueCount="83">
  <si>
    <t>ACCOUNT SUMMARY</t>
  </si>
  <si>
    <t>STOCK ISSUANCE</t>
  </si>
  <si>
    <t>Account Summary</t>
  </si>
  <si>
    <t>Total Qty</t>
  </si>
  <si>
    <t>Total Amount</t>
  </si>
  <si>
    <t>Payment Received</t>
  </si>
  <si>
    <t>Due Balance</t>
  </si>
  <si>
    <t>RETAILER</t>
  </si>
  <si>
    <t>FRANCHISE</t>
  </si>
  <si>
    <t>LOAD SIM</t>
  </si>
  <si>
    <t>MBB SIM</t>
  </si>
  <si>
    <t>E SIM</t>
  </si>
  <si>
    <t>Shine  Mobile</t>
  </si>
  <si>
    <t>MOBILE</t>
  </si>
  <si>
    <t>WINGLE</t>
  </si>
  <si>
    <t>Gold Number</t>
  </si>
  <si>
    <t>RETAIL IMZI</t>
  </si>
  <si>
    <t>CS IMZI</t>
  </si>
  <si>
    <t>DO RIZWAN</t>
  </si>
  <si>
    <t>DO MIRZA</t>
  </si>
  <si>
    <t>DO ADNAN</t>
  </si>
  <si>
    <t>DO ARSLAN</t>
  </si>
  <si>
    <t>DO MUBASHAR</t>
  </si>
  <si>
    <t>Do Mirza irfan</t>
  </si>
  <si>
    <t>DO HASSAN</t>
  </si>
  <si>
    <t>DO NAVEED</t>
  </si>
  <si>
    <t>DO IRFAN</t>
  </si>
  <si>
    <t xml:space="preserve">DSO </t>
  </si>
  <si>
    <t>DSO HASAN</t>
  </si>
  <si>
    <t>DSO</t>
  </si>
  <si>
    <t>FREE SIM CCR</t>
  </si>
  <si>
    <t>SARAM CCR</t>
  </si>
  <si>
    <t>ANNI CCR</t>
  </si>
  <si>
    <t>WASEEM GUJJAR</t>
  </si>
  <si>
    <t xml:space="preserve">DSO Abdullah </t>
  </si>
  <si>
    <t>DSO  4</t>
  </si>
  <si>
    <t>NET STOCK</t>
  </si>
  <si>
    <t>MOBILE STOCK</t>
  </si>
  <si>
    <t>G TOTAL</t>
  </si>
  <si>
    <t>DATE</t>
  </si>
  <si>
    <t>MONTHLY STOCK POSITION &amp; VALUE</t>
  </si>
  <si>
    <t>TOTAL</t>
  </si>
  <si>
    <t>OPENING</t>
  </si>
  <si>
    <t>TOTAL STOCK RECEIVED</t>
  </si>
  <si>
    <t>TOTAL STOCK ISSUANCE</t>
  </si>
  <si>
    <t>STOCK IN HAND</t>
  </si>
  <si>
    <t>STOCK VALUE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</si>
  <si>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</si>
  <si>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</si>
  <si>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Company Stock Credit JULY  2026</t>
  </si>
  <si>
    <t>IMSI ( 2800*140</t>
  </si>
  <si>
    <t>SIM (1000*150</t>
  </si>
  <si>
    <t>clearance</t>
  </si>
  <si>
    <t xml:space="preserve">BAKI </t>
  </si>
  <si>
    <t>Month January</t>
  </si>
  <si>
    <t>DO NAME</t>
  </si>
  <si>
    <t>PAYMENT RECEIVED</t>
  </si>
  <si>
    <t>ACCOUNT BALANCE</t>
  </si>
  <si>
    <t>Date</t>
  </si>
  <si>
    <t xml:space="preserve">Total Received </t>
  </si>
  <si>
    <t xml:space="preserve">Carry Forward </t>
  </si>
  <si>
    <t>DONGLE</t>
  </si>
  <si>
    <t>SIM</t>
  </si>
  <si>
    <t>IMZI</t>
  </si>
  <si>
    <t>DEVICES</t>
  </si>
  <si>
    <t>Payment</t>
  </si>
  <si>
    <t>.</t>
  </si>
  <si>
    <t>Naveed Bangla</t>
  </si>
  <si>
    <t>MIRZA</t>
  </si>
  <si>
    <t>ADNAN</t>
  </si>
  <si>
    <t>ARSLAN</t>
  </si>
  <si>
    <t>MuBASHAR</t>
  </si>
  <si>
    <t>IRFAN MIRZA</t>
  </si>
  <si>
    <t>HASSAN</t>
  </si>
  <si>
    <t xml:space="preserve">NAVEED </t>
  </si>
  <si>
    <t>IRFAN</t>
  </si>
  <si>
    <t>RIZWAN</t>
  </si>
  <si>
    <t xml:space="preserve">ADNAN </t>
  </si>
  <si>
    <t>WASEEM</t>
  </si>
  <si>
    <t>ALEEM</t>
  </si>
  <si>
    <t>BILAL</t>
  </si>
  <si>
    <t>NAJAM</t>
  </si>
  <si>
    <t>HUSSAIN  CCR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</si>
</sst>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0;[Red]0"/>
  </numFmts>
  <fonts count="17">
    <font>
      <sz val="11"/>
      <color theme="1"/>
      <name val="Calibri"/>
      <charset val="134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rgb="FF75DB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BC0D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2065187536243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double">
        <color rgb="FFFF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double">
        <color rgb="FFFF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5" fontId="6" fillId="4" borderId="31" xfId="0" applyNumberFormat="1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6" fillId="5" borderId="33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6" fillId="6" borderId="22" xfId="0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/>
    </xf>
    <xf numFmtId="0" fontId="6" fillId="6" borderId="24" xfId="0" applyFont="1" applyFill="1" applyBorder="1" applyAlignment="1">
      <alignment horizontal="center"/>
    </xf>
    <xf numFmtId="0" fontId="6" fillId="5" borderId="34" xfId="0" applyFont="1" applyFill="1" applyBorder="1" applyAlignment="1">
      <alignment horizontal="center"/>
    </xf>
    <xf numFmtId="0" fontId="6" fillId="5" borderId="35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15" fontId="6" fillId="4" borderId="36" xfId="0" applyNumberFormat="1" applyFont="1" applyFill="1" applyBorder="1" applyAlignment="1">
      <alignment horizontal="center"/>
    </xf>
    <xf numFmtId="0" fontId="0" fillId="0" borderId="0" xfId="0" applyFont="1"/>
    <xf numFmtId="15" fontId="6" fillId="4" borderId="37" xfId="0" applyNumberFormat="1" applyFont="1" applyFill="1" applyBorder="1" applyAlignment="1">
      <alignment horizontal="center"/>
    </xf>
    <xf numFmtId="0" fontId="6" fillId="6" borderId="38" xfId="0" applyFont="1" applyFill="1" applyBorder="1" applyAlignment="1">
      <alignment horizontal="center"/>
    </xf>
    <xf numFmtId="0" fontId="6" fillId="6" borderId="26" xfId="0" applyFont="1" applyFill="1" applyBorder="1" applyAlignment="1">
      <alignment horizontal="center"/>
    </xf>
    <xf numFmtId="0" fontId="6" fillId="6" borderId="39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/>
    </xf>
    <xf numFmtId="0" fontId="6" fillId="5" borderId="41" xfId="0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6" fillId="7" borderId="0" xfId="0" applyFont="1" applyFill="1"/>
    <xf numFmtId="0" fontId="0" fillId="3" borderId="0" xfId="0" applyFont="1" applyFill="1" applyAlignment="1">
      <alignment wrapText="1"/>
    </xf>
    <xf numFmtId="0" fontId="0" fillId="3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9" fillId="7" borderId="6" xfId="0" applyFont="1" applyFill="1" applyBorder="1" applyAlignment="1"/>
    <xf numFmtId="0" fontId="9" fillId="7" borderId="0" xfId="0" applyFont="1" applyFill="1" applyBorder="1" applyAlignment="1"/>
    <xf numFmtId="0" fontId="9" fillId="7" borderId="0" xfId="0" applyFont="1" applyFill="1" applyBorder="1" applyAlignment="1">
      <alignment horizontal="center"/>
    </xf>
    <xf numFmtId="0" fontId="0" fillId="7" borderId="0" xfId="0" applyFont="1" applyFill="1" applyAlignment="1">
      <alignment wrapText="1"/>
    </xf>
    <xf numFmtId="0" fontId="0" fillId="7" borderId="0" xfId="0" applyFont="1" applyFill="1" applyAlignment="1">
      <alignment vertical="center" wrapText="1"/>
    </xf>
    <xf numFmtId="15" fontId="6" fillId="8" borderId="31" xfId="0" applyNumberFormat="1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15" fontId="6" fillId="8" borderId="36" xfId="0" applyNumberFormat="1" applyFont="1" applyFill="1" applyBorder="1" applyAlignment="1">
      <alignment horizontal="center"/>
    </xf>
    <xf numFmtId="0" fontId="7" fillId="5" borderId="41" xfId="0" applyFont="1" applyFill="1" applyBorder="1" applyAlignment="1">
      <alignment horizontal="center"/>
    </xf>
    <xf numFmtId="1" fontId="7" fillId="9" borderId="21" xfId="0" applyNumberFormat="1" applyFont="1" applyFill="1" applyBorder="1" applyAlignment="1">
      <alignment horizontal="center" vertical="center"/>
    </xf>
    <xf numFmtId="15" fontId="6" fillId="6" borderId="24" xfId="0" applyNumberFormat="1" applyFont="1" applyFill="1" applyBorder="1" applyAlignment="1">
      <alignment horizontal="center"/>
    </xf>
    <xf numFmtId="14" fontId="6" fillId="4" borderId="22" xfId="0" applyNumberFormat="1" applyFon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164" fontId="0" fillId="4" borderId="23" xfId="0" applyNumberFormat="1" applyFill="1" applyBorder="1" applyAlignment="1">
      <alignment horizontal="center"/>
    </xf>
    <xf numFmtId="164" fontId="0" fillId="4" borderId="29" xfId="0" applyNumberFormat="1" applyFill="1" applyBorder="1" applyAlignment="1">
      <alignment horizontal="center"/>
    </xf>
    <xf numFmtId="164" fontId="6" fillId="4" borderId="36" xfId="0" applyNumberFormat="1" applyFont="1" applyFill="1" applyBorder="1" applyAlignment="1">
      <alignment horizontal="center"/>
    </xf>
    <xf numFmtId="164" fontId="6" fillId="4" borderId="37" xfId="0" applyNumberFormat="1" applyFont="1" applyFill="1" applyBorder="1" applyAlignment="1">
      <alignment horizontal="center"/>
    </xf>
    <xf numFmtId="15" fontId="6" fillId="4" borderId="44" xfId="0" applyNumberFormat="1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1" fontId="1" fillId="5" borderId="20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5" fontId="6" fillId="6" borderId="23" xfId="0" applyNumberFormat="1" applyFont="1" applyFill="1" applyBorder="1" applyAlignment="1">
      <alignment horizontal="center" vertical="center"/>
    </xf>
    <xf numFmtId="165" fontId="6" fillId="6" borderId="24" xfId="0" applyNumberFormat="1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1" fontId="1" fillId="5" borderId="35" xfId="0" applyNumberFormat="1" applyFont="1" applyFill="1" applyBorder="1" applyAlignment="1">
      <alignment horizontal="center" vertical="center"/>
    </xf>
    <xf numFmtId="15" fontId="4" fillId="4" borderId="24" xfId="0" applyNumberFormat="1" applyFont="1" applyFill="1" applyBorder="1" applyAlignment="1">
      <alignment horizontal="center" vertical="center"/>
    </xf>
    <xf numFmtId="15" fontId="4" fillId="4" borderId="23" xfId="0" applyNumberFormat="1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15" fontId="4" fillId="4" borderId="0" xfId="0" applyNumberFormat="1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1" fontId="0" fillId="9" borderId="21" xfId="0" applyNumberFormat="1" applyFill="1" applyBorder="1" applyAlignment="1">
      <alignment horizontal="center" vertical="center"/>
    </xf>
    <xf numFmtId="0" fontId="1" fillId="7" borderId="0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14" fontId="4" fillId="4" borderId="52" xfId="0" applyNumberFormat="1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14" fontId="4" fillId="4" borderId="36" xfId="0" applyNumberFormat="1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6" fillId="6" borderId="4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vertical="center"/>
    </xf>
    <xf numFmtId="0" fontId="6" fillId="5" borderId="51" xfId="0" applyFont="1" applyFill="1" applyBorder="1" applyAlignment="1">
      <alignment horizontal="center" vertical="center"/>
    </xf>
    <xf numFmtId="0" fontId="6" fillId="11" borderId="23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vertical="center"/>
    </xf>
    <xf numFmtId="0" fontId="0" fillId="7" borderId="23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5" fillId="7" borderId="24" xfId="0" applyNumberFormat="1" applyFont="1" applyFill="1" applyBorder="1" applyAlignment="1">
      <alignment vertical="center"/>
    </xf>
    <xf numFmtId="164" fontId="5" fillId="7" borderId="54" xfId="0" applyNumberFormat="1" applyFont="1" applyFill="1" applyBorder="1" applyAlignment="1">
      <alignment vertical="center"/>
    </xf>
    <xf numFmtId="164" fontId="5" fillId="7" borderId="22" xfId="0" applyNumberFormat="1" applyFont="1" applyFill="1" applyBorder="1" applyAlignment="1">
      <alignment vertical="center"/>
    </xf>
    <xf numFmtId="164" fontId="0" fillId="7" borderId="24" xfId="0" applyNumberFormat="1" applyFill="1" applyBorder="1" applyAlignment="1">
      <alignment vertical="center"/>
    </xf>
    <xf numFmtId="164" fontId="0" fillId="7" borderId="54" xfId="0" applyNumberFormat="1" applyFill="1" applyBorder="1" applyAlignment="1">
      <alignment vertical="center"/>
    </xf>
    <xf numFmtId="164" fontId="0" fillId="7" borderId="22" xfId="0" applyNumberFormat="1" applyFill="1" applyBorder="1" applyAlignment="1">
      <alignment vertical="center"/>
    </xf>
    <xf numFmtId="0" fontId="5" fillId="7" borderId="23" xfId="0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7" borderId="55" xfId="0" applyFill="1" applyBorder="1" applyAlignment="1">
      <alignment vertical="center"/>
    </xf>
    <xf numFmtId="14" fontId="0" fillId="7" borderId="0" xfId="0" applyNumberFormat="1" applyFill="1" applyBorder="1" applyAlignment="1">
      <alignment vertical="center"/>
    </xf>
    <xf numFmtId="0" fontId="0" fillId="0" borderId="0" xfId="0" applyBorder="1"/>
    <xf numFmtId="0" fontId="0" fillId="7" borderId="0" xfId="0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 vertical="center" wrapText="1"/>
    </xf>
    <xf numFmtId="0" fontId="5" fillId="7" borderId="24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64" fontId="5" fillId="7" borderId="24" xfId="0" applyNumberFormat="1" applyFont="1" applyFill="1" applyBorder="1" applyAlignment="1">
      <alignment horizontal="center" vertical="center"/>
    </xf>
    <xf numFmtId="164" fontId="5" fillId="7" borderId="54" xfId="0" applyNumberFormat="1" applyFont="1" applyFill="1" applyBorder="1" applyAlignment="1">
      <alignment horizontal="center" vertical="center"/>
    </xf>
    <xf numFmtId="164" fontId="5" fillId="7" borderId="22" xfId="0" applyNumberFormat="1" applyFont="1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17" fontId="5" fillId="7" borderId="24" xfId="0" applyNumberFormat="1" applyFont="1" applyFill="1" applyBorder="1" applyAlignment="1">
      <alignment horizontal="center" vertical="center"/>
    </xf>
    <xf numFmtId="17" fontId="5" fillId="7" borderId="54" xfId="0" applyNumberFormat="1" applyFont="1" applyFill="1" applyBorder="1" applyAlignment="1">
      <alignment horizontal="center" vertical="center"/>
    </xf>
    <xf numFmtId="17" fontId="5" fillId="7" borderId="22" xfId="0" applyNumberFormat="1" applyFont="1" applyFill="1" applyBorder="1" applyAlignment="1">
      <alignment horizontal="center" vertical="center"/>
    </xf>
    <xf numFmtId="15" fontId="5" fillId="7" borderId="24" xfId="0" applyNumberFormat="1" applyFont="1" applyFill="1" applyBorder="1" applyAlignment="1">
      <alignment horizontal="center" vertical="center"/>
    </xf>
    <xf numFmtId="164" fontId="0" fillId="7" borderId="24" xfId="0" applyNumberFormat="1" applyFill="1" applyBorder="1" applyAlignment="1">
      <alignment horizontal="center" vertical="center"/>
    </xf>
    <xf numFmtId="164" fontId="0" fillId="7" borderId="54" xfId="0" applyNumberFormat="1" applyFill="1" applyBorder="1" applyAlignment="1">
      <alignment horizontal="center" vertical="center"/>
    </xf>
    <xf numFmtId="164" fontId="0" fillId="7" borderId="22" xfId="0" applyNumberForma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42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1" fillId="8" borderId="51" xfId="0" applyFont="1" applyFill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5" fillId="12" borderId="54" xfId="0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5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right" vertical="center" wrapText="1"/>
    </xf>
    <xf numFmtId="0" fontId="5" fillId="4" borderId="1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5DBFF"/>
      <color rgb="FF4BD0FF"/>
      <color rgb="FF05BEFF"/>
      <color rgb="FFCBC0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0"/>
  <sheetViews>
    <sheetView tabSelected="1" topLeftCell="A28" workbookViewId="0">
      <selection activeCell="O47" sqref="O47"/>
    </sheetView>
  </sheetViews>
  <sheetFormatPr defaultColWidth="9.140625" defaultRowHeight="15"/>
  <cols>
    <col min="1" max="1" width="14.85546875" style="83" customWidth="1"/>
    <col min="2" max="2" width="13.28515625" style="84" customWidth="1"/>
    <col min="3" max="3" width="9.28515625" style="84" customWidth="1"/>
    <col min="4" max="4" width="9.28515625" style="83" customWidth="1"/>
    <col min="5" max="5" width="11.140625" style="83" customWidth="1"/>
    <col min="6" max="6" width="11.85546875" style="83" customWidth="1"/>
    <col min="7" max="7" width="14.140625" style="83" customWidth="1"/>
    <col min="8" max="8" width="9.28515625" style="83" customWidth="1"/>
    <col min="9" max="9" width="12.140625" style="83" customWidth="1"/>
    <col min="10" max="10" width="11.85546875" style="83" customWidth="1"/>
    <col min="11" max="11" width="9.7109375" style="83" customWidth="1"/>
    <col min="12" max="12" width="11.28515625" style="83" customWidth="1"/>
    <col min="13" max="13" width="13.42578125" style="83" customWidth="1"/>
    <col min="14" max="14" width="11.7109375" style="83" customWidth="1"/>
    <col min="15" max="16" width="11.7109375" style="84" customWidth="1"/>
    <col min="17" max="17" width="4.7109375" style="83" customWidth="1"/>
    <col min="18" max="16384" width="9.140625" style="83"/>
  </cols>
  <sheetData>
    <row r="1" spans="1:88" s="80" customFormat="1" ht="16.7" customHeight="1">
      <c r="A1" s="149" t="s">
        <v>0</v>
      </c>
      <c r="B1" s="168" t="s">
        <v>1</v>
      </c>
      <c r="C1" s="169"/>
      <c r="D1" s="169"/>
      <c r="E1" s="169"/>
      <c r="F1" s="169"/>
      <c r="G1" s="169"/>
      <c r="H1" s="169"/>
      <c r="I1" s="169"/>
      <c r="J1" s="169"/>
      <c r="K1" s="169"/>
      <c r="L1" s="170"/>
      <c r="M1" s="168" t="s">
        <v>2</v>
      </c>
      <c r="N1" s="169"/>
      <c r="O1" s="169"/>
      <c r="P1" s="170"/>
    </row>
    <row r="2" spans="1:88" s="81" customFormat="1" ht="15" customHeight="1">
      <c r="A2" s="150"/>
      <c r="B2" s="2">
        <v>280</v>
      </c>
      <c r="C2" s="3">
        <v>350</v>
      </c>
      <c r="D2" s="3">
        <v>1000</v>
      </c>
      <c r="E2" s="3">
        <v>500</v>
      </c>
      <c r="F2" s="3">
        <v>2000</v>
      </c>
      <c r="G2" s="3">
        <v>7400</v>
      </c>
      <c r="H2" s="3">
        <v>5350</v>
      </c>
      <c r="I2" s="3">
        <v>2100</v>
      </c>
      <c r="J2" s="3">
        <v>390</v>
      </c>
      <c r="K2" s="3">
        <v>280</v>
      </c>
      <c r="L2" s="4">
        <v>390</v>
      </c>
      <c r="M2" s="177" t="s">
        <v>3</v>
      </c>
      <c r="N2" s="181" t="s">
        <v>4</v>
      </c>
      <c r="O2" s="181" t="s">
        <v>5</v>
      </c>
      <c r="P2" s="184" t="s">
        <v>6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3"/>
      <c r="BY2" s="83"/>
      <c r="BZ2" s="83"/>
      <c r="CA2" s="83"/>
      <c r="CB2" s="83"/>
      <c r="CC2" s="83"/>
      <c r="CD2" s="83"/>
      <c r="CE2" s="83"/>
      <c r="CF2" s="83"/>
      <c r="CG2" s="83"/>
      <c r="CH2" s="83"/>
      <c r="CI2" s="83"/>
      <c r="CJ2" s="83"/>
    </row>
    <row r="3" spans="1:88" s="82" customFormat="1" ht="14.25" customHeight="1">
      <c r="A3" s="151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8" t="s">
        <v>17</v>
      </c>
      <c r="M3" s="178"/>
      <c r="N3" s="182"/>
      <c r="O3" s="182"/>
      <c r="P3" s="1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</row>
    <row r="4" spans="1:88" s="54" customFormat="1" ht="13.5" customHeight="1">
      <c r="A4" s="86" t="s">
        <v>18</v>
      </c>
      <c r="B4" s="87">
        <f>'NAVEED BANGLA '!B25</f>
        <v>0</v>
      </c>
      <c r="C4" s="87">
        <f>'NAVEED BANGLA '!C25</f>
        <v>0</v>
      </c>
      <c r="D4" s="87">
        <f>'NAVEED BANGLA '!D25</f>
        <v>0</v>
      </c>
      <c r="E4" s="87">
        <f>'NAVEED BANGLA '!E25</f>
        <v>0</v>
      </c>
      <c r="F4" s="87">
        <f>'NAVEED BANGLA '!F25</f>
        <v>0</v>
      </c>
      <c r="G4" s="87">
        <f>'NAVEED BANGLA '!G25</f>
        <v>0</v>
      </c>
      <c r="H4" s="87">
        <f>'NAVEED BANGLA '!H25</f>
        <v>0</v>
      </c>
      <c r="I4" s="87">
        <f>'NAVEED BANGLA '!I25</f>
        <v>0</v>
      </c>
      <c r="J4" s="87">
        <f>'NAVEED BANGLA '!J25</f>
        <v>0</v>
      </c>
      <c r="K4" s="87">
        <f>'NAVEED BANGLA '!K25</f>
        <v>0</v>
      </c>
      <c r="L4" s="88">
        <f>'NAVEED BANGLA '!L25</f>
        <v>0</v>
      </c>
      <c r="M4" s="89">
        <f>SUM(B4:L4)</f>
        <v>0</v>
      </c>
      <c r="N4" s="21">
        <f>L4*L2+K4*K2+J4*J2+I4*I2+H4*H2+G4*G2+F4*F2+E4*E2+D4*D2+C4*C2+B4*B2</f>
        <v>0</v>
      </c>
      <c r="O4" s="90">
        <f>'NAVEED BANGLA '!V25</f>
        <v>0</v>
      </c>
      <c r="P4" s="91">
        <f>'NAVEED BANGLA '!W25</f>
        <v>0</v>
      </c>
    </row>
    <row r="5" spans="1:88" s="54" customFormat="1" ht="13.5" customHeight="1">
      <c r="A5" s="92" t="s">
        <v>19</v>
      </c>
      <c r="B5" s="93">
        <f>MIRZA!B25</f>
        <v>0</v>
      </c>
      <c r="C5" s="93">
        <f>MIRZA!C25</f>
        <v>0</v>
      </c>
      <c r="D5" s="93">
        <f>MIRZA!D25</f>
        <v>0</v>
      </c>
      <c r="E5" s="93">
        <f>MIRZA!E25</f>
        <v>0</v>
      </c>
      <c r="F5" s="93">
        <f>MIRZA!F25</f>
        <v>0</v>
      </c>
      <c r="G5" s="93">
        <f>MIRZA!G25</f>
        <v>0</v>
      </c>
      <c r="H5" s="93">
        <f>MIRZA!H25</f>
        <v>0</v>
      </c>
      <c r="I5" s="93">
        <f>MIRZA!I25</f>
        <v>0</v>
      </c>
      <c r="J5" s="93">
        <f>MIRZA!J25</f>
        <v>0</v>
      </c>
      <c r="K5" s="93">
        <f>MIRZA!K25</f>
        <v>0</v>
      </c>
      <c r="L5" s="94">
        <f>MIRZA!L25</f>
        <v>0</v>
      </c>
      <c r="M5" s="95">
        <f t="shared" ref="M5:M25" si="0">SUM(B5:L5)</f>
        <v>0</v>
      </c>
      <c r="N5" s="30">
        <f>L5*L2+K5*K2+J5*J2+I5*I2+H5*H2+G5*G2+F5*F2+E5*E2+D5*D2+C5*C2+B5*B2</f>
        <v>0</v>
      </c>
      <c r="O5" s="96">
        <f>MIRZA!V25</f>
        <v>0</v>
      </c>
      <c r="P5" s="97">
        <f>MIRZA!W25</f>
        <v>56592</v>
      </c>
    </row>
    <row r="6" spans="1:88" s="54" customFormat="1" ht="13.5" customHeight="1">
      <c r="A6" s="92" t="s">
        <v>20</v>
      </c>
      <c r="B6" s="93">
        <f>ADNAN!B25</f>
        <v>0</v>
      </c>
      <c r="C6" s="93">
        <f>ADNAN!C25</f>
        <v>0</v>
      </c>
      <c r="D6" s="93">
        <f>ADNAN!D25</f>
        <v>0</v>
      </c>
      <c r="E6" s="93">
        <f>ADNAN!E25</f>
        <v>0</v>
      </c>
      <c r="F6" s="93">
        <f>ADNAN!F25</f>
        <v>0</v>
      </c>
      <c r="G6" s="93">
        <f>ADNAN!G25</f>
        <v>0</v>
      </c>
      <c r="H6" s="93">
        <f>ADNAN!H25</f>
        <v>0</v>
      </c>
      <c r="I6" s="93">
        <f>ADNAN!I25</f>
        <v>0</v>
      </c>
      <c r="J6" s="93">
        <f>ADNAN!J25</f>
        <v>0</v>
      </c>
      <c r="K6" s="93">
        <f>ADNAN!K25</f>
        <v>0</v>
      </c>
      <c r="L6" s="94">
        <f>ADNAN!L25</f>
        <v>0</v>
      </c>
      <c r="M6" s="95">
        <f t="shared" si="0"/>
        <v>0</v>
      </c>
      <c r="N6" s="30">
        <f>L6*L2+K6*K2+J6*J2+I6*I2+H6*H2+G6*G2+F6*F2+E6*E2+D6*D2+C6*C2+B6*B2</f>
        <v>0</v>
      </c>
      <c r="O6" s="96">
        <f>ADNAN!V25</f>
        <v>0</v>
      </c>
      <c r="P6" s="97">
        <f>ADNAN!W25</f>
        <v>0</v>
      </c>
    </row>
    <row r="7" spans="1:88" s="54" customFormat="1" ht="13.5" customHeight="1">
      <c r="A7" s="92" t="s">
        <v>21</v>
      </c>
      <c r="B7" s="93">
        <f>ARSLAN!B25</f>
        <v>0</v>
      </c>
      <c r="C7" s="93">
        <f>ARSLAN!C25</f>
        <v>0</v>
      </c>
      <c r="D7" s="93">
        <f>ARSLAN!D25</f>
        <v>0</v>
      </c>
      <c r="E7" s="93">
        <f>ARSLAN!E25</f>
        <v>0</v>
      </c>
      <c r="F7" s="93">
        <f>ARSLAN!F25</f>
        <v>0</v>
      </c>
      <c r="G7" s="93">
        <f>ARSLAN!G25</f>
        <v>0</v>
      </c>
      <c r="H7" s="93">
        <f>ARSLAN!H25</f>
        <v>0</v>
      </c>
      <c r="I7" s="93">
        <f>ARSLAN!I25</f>
        <v>0</v>
      </c>
      <c r="J7" s="93">
        <f>ARSLAN!J25</f>
        <v>0</v>
      </c>
      <c r="K7" s="93">
        <f>ARSLAN!K25</f>
        <v>100</v>
      </c>
      <c r="L7" s="94">
        <f>ARSLAN!L25</f>
        <v>0</v>
      </c>
      <c r="M7" s="95">
        <f t="shared" si="0"/>
        <v>100</v>
      </c>
      <c r="N7" s="30">
        <f>L7*L2+K7*K2+J7*J2+I7*I2+H7*H2+G7*G2+F7*F2+E7*E2+D7*D2+C7*C2+B7*B2</f>
        <v>28000</v>
      </c>
      <c r="O7" s="96">
        <f>ARSLAN!V25</f>
        <v>0</v>
      </c>
      <c r="P7" s="97">
        <f>ARSLAN!W25</f>
        <v>87015</v>
      </c>
    </row>
    <row r="8" spans="1:88" s="54" customFormat="1" ht="13.5" customHeight="1">
      <c r="A8" s="92" t="s">
        <v>22</v>
      </c>
      <c r="B8" s="93">
        <f>'Mubashar '!B25</f>
        <v>100</v>
      </c>
      <c r="C8" s="93">
        <f>'Mubashar '!C25</f>
        <v>0</v>
      </c>
      <c r="D8" s="93">
        <f>'Mubashar '!D25</f>
        <v>0</v>
      </c>
      <c r="E8" s="93">
        <f>'Mubashar '!E25</f>
        <v>0</v>
      </c>
      <c r="F8" s="93">
        <f>'Mubashar '!F25</f>
        <v>0</v>
      </c>
      <c r="G8" s="93">
        <f>'Mubashar '!G25</f>
        <v>0</v>
      </c>
      <c r="H8" s="93">
        <f>'Mubashar '!H25</f>
        <v>0</v>
      </c>
      <c r="I8" s="93">
        <f>'Mubashar '!I25</f>
        <v>0</v>
      </c>
      <c r="J8" s="93">
        <f>'Mubashar '!J25</f>
        <v>0</v>
      </c>
      <c r="K8" s="93">
        <f>'Mubashar '!K25</f>
        <v>0</v>
      </c>
      <c r="L8" s="94">
        <f>'Mubashar '!L25</f>
        <v>0</v>
      </c>
      <c r="M8" s="95">
        <f t="shared" si="0"/>
        <v>100</v>
      </c>
      <c r="N8" s="30">
        <f>L8*L2+K8*K2+J8*J2+I8*I2+H8*H2+G8*G2+F8*F2+E8*E2+D8*D2+C8*C2+B8*B2</f>
        <v>28000</v>
      </c>
      <c r="O8" s="96">
        <f>'Mubashar '!V25</f>
        <v>0</v>
      </c>
      <c r="P8" s="97">
        <f>'Mubashar '!W25</f>
        <v>86240</v>
      </c>
    </row>
    <row r="9" spans="1:88" s="54" customFormat="1" ht="13.5" customHeight="1">
      <c r="A9" s="92" t="s">
        <v>23</v>
      </c>
      <c r="B9" s="93">
        <f>'NEW IRFAN '!B25</f>
        <v>40</v>
      </c>
      <c r="C9" s="93">
        <f>'NEW IRFAN '!C25</f>
        <v>0</v>
      </c>
      <c r="D9" s="93">
        <f>'NEW IRFAN '!D25</f>
        <v>0</v>
      </c>
      <c r="E9" s="93">
        <f>'NEW IRFAN '!E25</f>
        <v>0</v>
      </c>
      <c r="F9" s="93">
        <f>'NEW IRFAN '!F25</f>
        <v>0</v>
      </c>
      <c r="G9" s="93">
        <f>'NEW IRFAN '!G25</f>
        <v>0</v>
      </c>
      <c r="H9" s="93">
        <f>'NEW IRFAN '!H25</f>
        <v>0</v>
      </c>
      <c r="I9" s="93">
        <f>'NEW IRFAN '!I25</f>
        <v>0</v>
      </c>
      <c r="J9" s="93">
        <f>'NEW IRFAN '!J25</f>
        <v>0</v>
      </c>
      <c r="K9" s="93">
        <f>'NEW IRFAN '!K25</f>
        <v>20</v>
      </c>
      <c r="L9" s="94">
        <f>'NEW IRFAN '!L25</f>
        <v>0</v>
      </c>
      <c r="M9" s="95">
        <f t="shared" si="0"/>
        <v>60</v>
      </c>
      <c r="N9" s="30">
        <f>L9*L2+K9*K2+J9*J2+I9*I2+H9*H2+G9*G2+F9*F2+E9*E2+D9*D2+C9*C2+B9*B2</f>
        <v>16800</v>
      </c>
      <c r="O9" s="96">
        <f>'NEW IRFAN '!V25</f>
        <v>0</v>
      </c>
      <c r="P9" s="97">
        <f>'NEW IRFAN '!W25</f>
        <v>53760</v>
      </c>
    </row>
    <row r="10" spans="1:88" s="54" customFormat="1" ht="13.5" customHeight="1">
      <c r="A10" s="92" t="s">
        <v>24</v>
      </c>
      <c r="B10" s="93">
        <f>HASSAN!B25</f>
        <v>0</v>
      </c>
      <c r="C10" s="93">
        <f>NAVEED!C25</f>
        <v>0</v>
      </c>
      <c r="D10" s="93">
        <f>NAVEED!D25</f>
        <v>0</v>
      </c>
      <c r="E10" s="93">
        <f>NAVEED!E25</f>
        <v>0</v>
      </c>
      <c r="F10" s="93">
        <f>NAVEED!F25</f>
        <v>0</v>
      </c>
      <c r="G10" s="93">
        <f>NAVEED!G25</f>
        <v>0</v>
      </c>
      <c r="H10" s="93">
        <f>NAVEED!H25</f>
        <v>0</v>
      </c>
      <c r="I10" s="93">
        <f>NAVEED!I25</f>
        <v>0</v>
      </c>
      <c r="J10" s="93">
        <f>NAVEED!J25</f>
        <v>0</v>
      </c>
      <c r="K10" s="93">
        <f>HASSAN!K25</f>
        <v>0</v>
      </c>
      <c r="L10" s="94">
        <f>NAVEED!L25</f>
        <v>0</v>
      </c>
      <c r="M10" s="95">
        <f t="shared" si="0"/>
        <v>0</v>
      </c>
      <c r="N10" s="30">
        <f>L10*L2+K10*K2+J10*J2+I10*I2+H10*H2+G10*G2+F10*F2+E10*E2+D10*D2+C10*C2+B10*B2</f>
        <v>0</v>
      </c>
      <c r="O10" s="96">
        <f>'NEW IRFAN '!V26</f>
        <v>0</v>
      </c>
      <c r="P10" s="97">
        <f>HASSAN!W25</f>
        <v>21000</v>
      </c>
    </row>
    <row r="11" spans="1:88" s="54" customFormat="1" ht="13.5" customHeight="1">
      <c r="A11" s="92" t="s">
        <v>25</v>
      </c>
      <c r="B11" s="93">
        <f>NAVEED!B25</f>
        <v>100</v>
      </c>
      <c r="C11" s="93">
        <f>HASSAN!C25</f>
        <v>0</v>
      </c>
      <c r="D11" s="93">
        <f>HASSAN!D25</f>
        <v>0</v>
      </c>
      <c r="E11" s="93">
        <f>HASSAN!E25</f>
        <v>0</v>
      </c>
      <c r="F11" s="93">
        <f>HASSAN!F25</f>
        <v>0</v>
      </c>
      <c r="G11" s="93">
        <f>HASSAN!G25</f>
        <v>0</v>
      </c>
      <c r="H11" s="93">
        <f>HASSAN!H25</f>
        <v>0</v>
      </c>
      <c r="I11" s="93">
        <f>HASSAN!I25</f>
        <v>0</v>
      </c>
      <c r="J11" s="93">
        <f>HASSAN!J25</f>
        <v>0</v>
      </c>
      <c r="K11" s="93">
        <f>NAVEED!K25</f>
        <v>100</v>
      </c>
      <c r="L11" s="94">
        <f>HASSAN!L25</f>
        <v>0</v>
      </c>
      <c r="M11" s="95">
        <f t="shared" si="0"/>
        <v>200</v>
      </c>
      <c r="N11" s="30">
        <f>L11*L2+K11*K2+J11*J2+I11*I2+H11*H2+G11*G2+F11*F2+E11*E2+D11*D2+C11*C2+B11*B2</f>
        <v>56000</v>
      </c>
      <c r="O11" s="96">
        <f>HASSAN!V25</f>
        <v>0</v>
      </c>
      <c r="P11" s="97">
        <f>NAVEED!W25</f>
        <v>171670</v>
      </c>
    </row>
    <row r="12" spans="1:88" s="54" customFormat="1" ht="13.5" customHeight="1">
      <c r="A12" s="92" t="s">
        <v>26</v>
      </c>
      <c r="B12" s="93">
        <f>IRFAN!B25</f>
        <v>0</v>
      </c>
      <c r="C12" s="93">
        <f>IRFAN!C25</f>
        <v>0</v>
      </c>
      <c r="D12" s="93">
        <f>IRFAN!D25</f>
        <v>0</v>
      </c>
      <c r="E12" s="93">
        <f>IRFAN!E25</f>
        <v>0</v>
      </c>
      <c r="F12" s="93">
        <f>IRFAN!F25</f>
        <v>0</v>
      </c>
      <c r="G12" s="93">
        <f>IRFAN!G25</f>
        <v>0</v>
      </c>
      <c r="H12" s="93">
        <f>IRFAN!H25</f>
        <v>0</v>
      </c>
      <c r="I12" s="93">
        <f>IRFAN!I25</f>
        <v>0</v>
      </c>
      <c r="J12" s="93">
        <f>IRFAN!J25</f>
        <v>0</v>
      </c>
      <c r="K12" s="93">
        <f>IRFAN!K25</f>
        <v>0</v>
      </c>
      <c r="L12" s="94">
        <f>IRFAN!L25</f>
        <v>0</v>
      </c>
      <c r="M12" s="95">
        <f t="shared" si="0"/>
        <v>0</v>
      </c>
      <c r="N12" s="30">
        <f>L12*L2+K12*K2+J12*J2+I12*I2+H12*H2+G12*G2+F12*F2+E12*E2+D12*D2+C12*C2+B12*B2</f>
        <v>0</v>
      </c>
      <c r="O12" s="96">
        <f>IRFAN!V25</f>
        <v>0</v>
      </c>
      <c r="P12" s="97">
        <f>IRFAN!W25</f>
        <v>40560</v>
      </c>
    </row>
    <row r="13" spans="1:88" s="54" customFormat="1" ht="13.5" customHeight="1">
      <c r="A13" s="92" t="s">
        <v>27</v>
      </c>
      <c r="B13" s="93">
        <f>'DSO NADEEM '!B25</f>
        <v>0</v>
      </c>
      <c r="C13" s="93">
        <f>'DSO NADEEM '!C25</f>
        <v>0</v>
      </c>
      <c r="D13" s="93">
        <f>'DSO NADEEM '!D25</f>
        <v>0</v>
      </c>
      <c r="E13" s="93">
        <f>'DSO NADEEM '!E25</f>
        <v>0</v>
      </c>
      <c r="F13" s="93">
        <f>'DSO NADEEM '!F25</f>
        <v>0</v>
      </c>
      <c r="G13" s="93">
        <f>'DSO NADEEM '!G25</f>
        <v>0</v>
      </c>
      <c r="H13" s="93">
        <f>'DSO NADEEM '!H25</f>
        <v>0</v>
      </c>
      <c r="I13" s="93">
        <f>'DSO NADEEM '!I25</f>
        <v>0</v>
      </c>
      <c r="J13" s="93">
        <f>'DSO NADEEM '!J25</f>
        <v>0</v>
      </c>
      <c r="K13" s="93">
        <f>'DSO NADEEM '!K25</f>
        <v>0</v>
      </c>
      <c r="L13" s="94">
        <f>'DSO NADEEM '!L25</f>
        <v>0</v>
      </c>
      <c r="M13" s="95">
        <f t="shared" si="0"/>
        <v>0</v>
      </c>
      <c r="N13" s="30">
        <f>L13*L2+K13*K2+J13*J2+I13*I2+H13*H2+G13*G2+F13*F2+E13*E2+D13*D2+C13*C2+B13*B2</f>
        <v>0</v>
      </c>
      <c r="O13" s="96">
        <f>'DSO NADEEM '!V25</f>
        <v>0</v>
      </c>
      <c r="P13" s="97">
        <f>'DSO NADEEM '!W25</f>
        <v>0</v>
      </c>
    </row>
    <row r="14" spans="1:88" s="54" customFormat="1" ht="13.5" customHeight="1">
      <c r="A14" s="92" t="s">
        <v>28</v>
      </c>
      <c r="B14" s="93">
        <f>'DSO HASAN'!B25</f>
        <v>40</v>
      </c>
      <c r="C14" s="93">
        <f>'DSO HASAN'!C25</f>
        <v>0</v>
      </c>
      <c r="D14" s="93">
        <f>'DSO HASAN'!D25</f>
        <v>0</v>
      </c>
      <c r="E14" s="93">
        <f>'DSO HASAN'!E25</f>
        <v>0</v>
      </c>
      <c r="F14" s="93">
        <f>'DSO HASAN'!F25</f>
        <v>0</v>
      </c>
      <c r="G14" s="93">
        <f>'DSO HASAN'!G25</f>
        <v>0</v>
      </c>
      <c r="H14" s="93">
        <f>'DSO HASAN'!H25</f>
        <v>0</v>
      </c>
      <c r="I14" s="93">
        <f>'DSO HASAN'!I25</f>
        <v>0</v>
      </c>
      <c r="J14" s="93">
        <f>'DSO HASAN'!J25</f>
        <v>0</v>
      </c>
      <c r="K14" s="93">
        <f>'DSO HASAN'!K25</f>
        <v>20</v>
      </c>
      <c r="L14" s="94">
        <f>'DSO HASAN'!L25</f>
        <v>0</v>
      </c>
      <c r="M14" s="95">
        <f t="shared" si="0"/>
        <v>60</v>
      </c>
      <c r="N14" s="30">
        <f>L14*L2+K14*K2+J14*J2+I14*I2+H14*H2+G14*G2+F14*F2+E14*E2+D14*D2+C14*C2+B14*B2</f>
        <v>16800</v>
      </c>
      <c r="O14" s="96">
        <f>'DSO HASAN'!V25</f>
        <v>0</v>
      </c>
      <c r="P14" s="97">
        <f>'DSO HASAN'!W25</f>
        <v>129920</v>
      </c>
    </row>
    <row r="15" spans="1:88" s="54" customFormat="1" ht="13.5" customHeight="1">
      <c r="A15" s="92" t="s">
        <v>29</v>
      </c>
      <c r="B15" s="93">
        <f>'DSO  2 '!B25</f>
        <v>0</v>
      </c>
      <c r="C15" s="93">
        <f>'DSO  2 '!C25</f>
        <v>0</v>
      </c>
      <c r="D15" s="93">
        <f>'DSO  2 '!D25</f>
        <v>0</v>
      </c>
      <c r="E15" s="93">
        <f>'DSO  2 '!E25</f>
        <v>0</v>
      </c>
      <c r="F15" s="93">
        <f>'DSO  2 '!F25</f>
        <v>0</v>
      </c>
      <c r="G15" s="93">
        <f>'DSO  2 '!G25</f>
        <v>0</v>
      </c>
      <c r="H15" s="93">
        <f>'DSO  2 '!H25</f>
        <v>0</v>
      </c>
      <c r="I15" s="93">
        <f>'DSO  2 '!I25</f>
        <v>0</v>
      </c>
      <c r="J15" s="93">
        <f>'DSO  2 '!J25</f>
        <v>0</v>
      </c>
      <c r="K15" s="93">
        <f>'DSO  2 '!K25</f>
        <v>0</v>
      </c>
      <c r="L15" s="94">
        <f>'DSO  2 '!L25</f>
        <v>0</v>
      </c>
      <c r="M15" s="95">
        <f t="shared" si="0"/>
        <v>0</v>
      </c>
      <c r="N15" s="30">
        <f>L15*L2+K15*K2+J15*J2+I15*I2+H15*H2+G15*G2+F15*F2+E15*E2+D15*D2+C15*C2+B15*B2</f>
        <v>0</v>
      </c>
      <c r="O15" s="96">
        <f>'DSO  2 '!V25</f>
        <v>0</v>
      </c>
      <c r="P15" s="97">
        <f>'DSO  2 '!W25</f>
        <v>0</v>
      </c>
    </row>
    <row r="16" spans="1:88" s="54" customFormat="1" ht="13.5" customHeight="1">
      <c r="A16" s="92" t="s">
        <v>30</v>
      </c>
      <c r="B16" s="93">
        <f>'SIM FREE '!B35</f>
        <v>0</v>
      </c>
      <c r="C16" s="93">
        <f>'SIM FREE '!C35</f>
        <v>0</v>
      </c>
      <c r="D16" s="93">
        <f>'SIM FREE '!D35</f>
        <v>0</v>
      </c>
      <c r="E16" s="93">
        <f>'SIM FREE '!E35</f>
        <v>0</v>
      </c>
      <c r="F16" s="93">
        <f>'SIM FREE '!F35</f>
        <v>0</v>
      </c>
      <c r="G16" s="93">
        <f>'SIM FREE '!G35</f>
        <v>0</v>
      </c>
      <c r="H16" s="93">
        <f>'SIM FREE '!H35</f>
        <v>0</v>
      </c>
      <c r="I16" s="93">
        <f>'SIM FREE '!I35</f>
        <v>0</v>
      </c>
      <c r="J16" s="93">
        <f>'SIM FREE '!J35</f>
        <v>0</v>
      </c>
      <c r="K16" s="93">
        <f>'SIM FREE '!K35</f>
        <v>0</v>
      </c>
      <c r="L16" s="94">
        <f>'SIM FREE '!L35</f>
        <v>0</v>
      </c>
      <c r="M16" s="95">
        <f t="shared" si="0"/>
        <v>0</v>
      </c>
      <c r="N16" s="30">
        <f>L16*L2+K16*K2+J16*J2+I16*I2+H16*H2+G16*G2+F16*F2+E16*E2+D16*D2+C16*C2+B16*B2</f>
        <v>0</v>
      </c>
      <c r="O16" s="96">
        <f>'SIM FREE '!V35</f>
        <v>0</v>
      </c>
      <c r="P16" s="97">
        <f>'SIM FREE '!W35</f>
        <v>29400</v>
      </c>
    </row>
    <row r="17" spans="1:16" s="54" customFormat="1" ht="13.5" customHeight="1">
      <c r="A17" s="98" t="s">
        <v>82</v>
      </c>
      <c r="B17" s="93">
        <f>'CCR HUSSAIN'!B35</f>
        <v>0</v>
      </c>
      <c r="C17" s="93">
        <f>'CCR HUSSAIN'!C35</f>
        <v>0</v>
      </c>
      <c r="D17" s="93">
        <f>'CCR HUSSAIN'!D35</f>
        <v>0</v>
      </c>
      <c r="E17" s="93">
        <f>'CCR HUSSAIN'!E35</f>
        <v>0</v>
      </c>
      <c r="F17" s="93">
        <f>'CCR HUSSAIN'!F35</f>
        <v>0</v>
      </c>
      <c r="G17" s="93">
        <f>'CCR HUSSAIN'!G35</f>
        <v>0</v>
      </c>
      <c r="H17" s="93">
        <f>'CCR HUSSAIN'!H35</f>
        <v>0</v>
      </c>
      <c r="I17" s="93">
        <f>'CCR HUSSAIN'!I35</f>
        <v>0</v>
      </c>
      <c r="J17" s="93">
        <f>'CCR HUSSAIN'!J35</f>
        <v>1</v>
      </c>
      <c r="K17" s="93">
        <f>'CCR HUSSAIN'!K35</f>
        <v>0</v>
      </c>
      <c r="L17" s="94">
        <f>'CCR HUSSAIN'!L35</f>
        <v>13</v>
      </c>
      <c r="M17" s="95">
        <f t="shared" si="0"/>
        <v>14</v>
      </c>
      <c r="N17" s="30">
        <f>L17*L2+K17*K2+J17*J2+I17*I2+H17*H2+G17*G2+F17*F2+E17*E2+D17*D2+C17*C2+B17*B2</f>
        <v>5460</v>
      </c>
      <c r="O17" s="96">
        <f>'CCR HUSSAIN'!V35</f>
        <v>5460</v>
      </c>
      <c r="P17" s="97">
        <f>'CCR HUSSAIN'!W35</f>
        <v>22800</v>
      </c>
    </row>
    <row r="18" spans="1:16" s="54" customFormat="1" ht="13.5" customHeight="1">
      <c r="A18" s="98" t="s">
        <v>31</v>
      </c>
      <c r="B18" s="93">
        <f>'SARAM  CS'!B35</f>
        <v>0</v>
      </c>
      <c r="C18" s="93">
        <f>'SARAM  CS'!C35</f>
        <v>0</v>
      </c>
      <c r="D18" s="93">
        <f>'SARAM  CS'!D35</f>
        <v>0</v>
      </c>
      <c r="E18" s="93">
        <f>'SARAM  CS'!E35</f>
        <v>0</v>
      </c>
      <c r="F18" s="93">
        <f>'SARAM  CS'!F35</f>
        <v>0</v>
      </c>
      <c r="G18" s="93">
        <f>'SARAM  CS'!G35</f>
        <v>0</v>
      </c>
      <c r="H18" s="93">
        <f>'SARAM  CS'!H35</f>
        <v>0</v>
      </c>
      <c r="I18" s="93">
        <f>'SARAM  CS'!I35</f>
        <v>0</v>
      </c>
      <c r="J18" s="93">
        <f>'SARAM  CS'!J35</f>
        <v>0</v>
      </c>
      <c r="K18" s="93">
        <f>'SARAM  CS'!K35</f>
        <v>0</v>
      </c>
      <c r="L18" s="94">
        <f>'SARAM  CS'!L35</f>
        <v>0</v>
      </c>
      <c r="M18" s="95">
        <f t="shared" si="0"/>
        <v>0</v>
      </c>
      <c r="N18" s="30">
        <f>L18*L2+K18*K2+J18*J2+I18*I2+H18*H2+G18*G2+F18*F2+E18*E2+D18*D2+C18*C2+B18*B2</f>
        <v>0</v>
      </c>
      <c r="O18" s="96">
        <f>'SARAM  CS'!V35</f>
        <v>0</v>
      </c>
      <c r="P18" s="97">
        <f>'SARAM  CS'!W35</f>
        <v>12800</v>
      </c>
    </row>
    <row r="19" spans="1:16" s="54" customFormat="1" ht="13.5" customHeight="1">
      <c r="A19" s="98" t="s">
        <v>32</v>
      </c>
      <c r="B19" s="93">
        <f>'ANNIE CCR'!B34</f>
        <v>0</v>
      </c>
      <c r="C19" s="93">
        <f>'ANNIE CCR'!C34</f>
        <v>19</v>
      </c>
      <c r="D19" s="93">
        <f>'ANNIE CCR'!D34</f>
        <v>0</v>
      </c>
      <c r="E19" s="93">
        <f>'ANNIE CCR'!E34</f>
        <v>0</v>
      </c>
      <c r="F19" s="93">
        <f>'ANNIE CCR'!F34</f>
        <v>0</v>
      </c>
      <c r="G19" s="93">
        <f>'ANNIE CCR'!G34</f>
        <v>0</v>
      </c>
      <c r="H19" s="93">
        <f>'ANNIE CCR'!H34</f>
        <v>0</v>
      </c>
      <c r="I19" s="93">
        <f>'ANNIE CCR'!I34</f>
        <v>0</v>
      </c>
      <c r="J19" s="93">
        <f>'ANNIE CCR'!J34</f>
        <v>1</v>
      </c>
      <c r="K19" s="93">
        <f>'ANNIE CCR'!K34</f>
        <v>0</v>
      </c>
      <c r="L19" s="94">
        <f>'ANNIE CCR'!L34</f>
        <v>1</v>
      </c>
      <c r="M19" s="95">
        <f t="shared" si="0"/>
        <v>21</v>
      </c>
      <c r="N19" s="30">
        <f>L19*L2+K19*K2+J19*J2+I19*I2+H19*H2+G19*G2+F19*F2+E19*E2+D19*D2+C19*C2+B19*B2</f>
        <v>7430</v>
      </c>
      <c r="O19" s="96">
        <f>'ANNIE CCR'!V34</f>
        <v>7430</v>
      </c>
      <c r="P19" s="97">
        <f>'ANNIE CCR'!W34</f>
        <v>41800</v>
      </c>
    </row>
    <row r="20" spans="1:16" s="54" customFormat="1" ht="13.5" customHeight="1">
      <c r="A20" s="98" t="s">
        <v>33</v>
      </c>
      <c r="B20" s="93">
        <f>'WASEEM GUJJAR'!B25</f>
        <v>0</v>
      </c>
      <c r="C20" s="93">
        <f>'WASEEM GUJJAR'!C25</f>
        <v>0</v>
      </c>
      <c r="D20" s="93">
        <f>'WASEEM GUJJAR'!D25</f>
        <v>0</v>
      </c>
      <c r="E20" s="93">
        <f>'WASEEM GUJJAR'!E25</f>
        <v>0</v>
      </c>
      <c r="F20" s="93">
        <f>'WASEEM GUJJAR'!F25</f>
        <v>0</v>
      </c>
      <c r="G20" s="93">
        <f>'WASEEM GUJJAR'!G25</f>
        <v>0</v>
      </c>
      <c r="H20" s="93">
        <f>'WASEEM GUJJAR'!H25</f>
        <v>0</v>
      </c>
      <c r="I20" s="93">
        <f>'WASEEM GUJJAR'!I25</f>
        <v>0</v>
      </c>
      <c r="J20" s="93">
        <f>'WASEEM GUJJAR'!J25</f>
        <v>0</v>
      </c>
      <c r="K20" s="93">
        <f>'WASEEM GUJJAR'!K25</f>
        <v>0</v>
      </c>
      <c r="L20" s="94">
        <f>'WASEEM GUJJAR'!L25</f>
        <v>0</v>
      </c>
      <c r="M20" s="95">
        <f t="shared" si="0"/>
        <v>0</v>
      </c>
      <c r="N20" s="30">
        <f>L20*L2+K20*K2+J20*J2+I20*I2+H20*H2+G20*G2+F20*F2+E20*E2+D20*D2+C20*C2+B20*B2</f>
        <v>0</v>
      </c>
      <c r="O20" s="96">
        <f>'WASEEM GUJJAR'!V25</f>
        <v>0</v>
      </c>
      <c r="P20" s="97">
        <f>'WASEEM GUJJAR'!W25</f>
        <v>3080</v>
      </c>
    </row>
    <row r="21" spans="1:16" s="54" customFormat="1" ht="13.5" customHeight="1">
      <c r="A21" s="92" t="s">
        <v>34</v>
      </c>
      <c r="B21" s="93">
        <f>'ABDULLAH DSO '!B25</f>
        <v>0</v>
      </c>
      <c r="C21" s="93">
        <f>'ABDULLAH DSO '!C25</f>
        <v>0</v>
      </c>
      <c r="D21" s="93">
        <f>'ABDULLAH DSO '!D25</f>
        <v>0</v>
      </c>
      <c r="E21" s="93">
        <f>'ABDULLAH DSO '!E25</f>
        <v>0</v>
      </c>
      <c r="F21" s="93">
        <f>'ABDULLAH DSO '!F25</f>
        <v>0</v>
      </c>
      <c r="G21" s="93">
        <f>'ABDULLAH DSO '!G25</f>
        <v>0</v>
      </c>
      <c r="H21" s="93">
        <f>'ABDULLAH DSO '!H25</f>
        <v>0</v>
      </c>
      <c r="I21" s="93">
        <f>'ABDULLAH DSO '!I25</f>
        <v>0</v>
      </c>
      <c r="J21" s="93">
        <f>'ABDULLAH DSO '!J25</f>
        <v>0</v>
      </c>
      <c r="K21" s="93">
        <f>'ABDULLAH DSO '!K25</f>
        <v>0</v>
      </c>
      <c r="L21" s="94">
        <f>'ABDULLAH DSO '!L25</f>
        <v>0</v>
      </c>
      <c r="M21" s="95">
        <f t="shared" si="0"/>
        <v>0</v>
      </c>
      <c r="N21" s="30">
        <f>L21*L2+K21*K2+J21*J2+I21*I2+H21*H2+G21*G2+F21*F2+E21*E2+D21*D2+C21*C2+B21*B2</f>
        <v>0</v>
      </c>
      <c r="O21" s="96">
        <f>'ABDULLAH DSO '!V25</f>
        <v>0</v>
      </c>
      <c r="P21" s="97">
        <f>'ABDULLAH DSO '!W25</f>
        <v>20640</v>
      </c>
    </row>
    <row r="22" spans="1:16" s="54" customFormat="1" ht="13.5" customHeight="1">
      <c r="A22" s="98" t="s">
        <v>35</v>
      </c>
      <c r="B22" s="93">
        <f>'DSO 1 '!B25</f>
        <v>0</v>
      </c>
      <c r="C22" s="93">
        <f>'DSO 1 '!C25</f>
        <v>0</v>
      </c>
      <c r="D22" s="93">
        <f>'DSO 1 '!D25</f>
        <v>0</v>
      </c>
      <c r="E22" s="93">
        <f>'DSO 1 '!E25</f>
        <v>0</v>
      </c>
      <c r="F22" s="93">
        <f>'DSO 1 '!F25</f>
        <v>0</v>
      </c>
      <c r="G22" s="93">
        <f>'DSO 1 '!G25</f>
        <v>0</v>
      </c>
      <c r="H22" s="93">
        <f>'DSO 1 '!H25</f>
        <v>0</v>
      </c>
      <c r="I22" s="93">
        <f>'DSO 1 '!I25</f>
        <v>0</v>
      </c>
      <c r="J22" s="93">
        <f>'DSO 1 '!J25</f>
        <v>0</v>
      </c>
      <c r="K22" s="93">
        <f>'DSO 1 '!K25</f>
        <v>0</v>
      </c>
      <c r="L22" s="94">
        <f>'DSO 1 '!L25</f>
        <v>0</v>
      </c>
      <c r="M22" s="95">
        <f t="shared" si="0"/>
        <v>0</v>
      </c>
      <c r="N22" s="30">
        <f>L22*L2+K22*K2+J22*J2+I22*I2+H22*H2+G22*G2+F22*F2+E22*E2+D22*D2+C22*C2+B22*B2</f>
        <v>0</v>
      </c>
      <c r="O22" s="96">
        <f>'DSO 1 '!V25</f>
        <v>0</v>
      </c>
      <c r="P22" s="97">
        <f>'DSO 1 '!W25</f>
        <v>0</v>
      </c>
    </row>
    <row r="23" spans="1:16" s="54" customFormat="1" ht="13.5" customHeight="1">
      <c r="A23" s="98" t="s">
        <v>36</v>
      </c>
      <c r="B23" s="93">
        <f>'NET STOCK '!B25</f>
        <v>0</v>
      </c>
      <c r="C23" s="93">
        <f>'NET STOCK '!C25</f>
        <v>0</v>
      </c>
      <c r="D23" s="93">
        <f>'NET STOCK '!D25</f>
        <v>1</v>
      </c>
      <c r="E23" s="93">
        <f>'NET STOCK '!E25</f>
        <v>0</v>
      </c>
      <c r="F23" s="93">
        <f>'NET STOCK '!F25</f>
        <v>0</v>
      </c>
      <c r="G23" s="93">
        <f>'NET STOCK '!G25</f>
        <v>0</v>
      </c>
      <c r="H23" s="93">
        <f>'NET STOCK '!H25</f>
        <v>0</v>
      </c>
      <c r="I23" s="93">
        <f>'NET STOCK '!I25</f>
        <v>0</v>
      </c>
      <c r="J23" s="93">
        <f>'NET STOCK '!J25</f>
        <v>0</v>
      </c>
      <c r="K23" s="93">
        <f>'NET STOCK '!K25</f>
        <v>100</v>
      </c>
      <c r="L23" s="94">
        <f>'NET STOCK '!L25</f>
        <v>0</v>
      </c>
      <c r="M23" s="95">
        <f t="shared" si="0"/>
        <v>101</v>
      </c>
      <c r="N23" s="30">
        <f>L23*L2+K23*K2+J23*J2+I23*I2+H23*H2+G23*G2+F23*F2+E23*E2+D23*D2+C23*C2+B23*B2</f>
        <v>29000</v>
      </c>
      <c r="O23" s="96">
        <f>'NET STOCK '!V25</f>
        <v>1000</v>
      </c>
      <c r="P23" s="97">
        <f>'NET STOCK '!W25</f>
        <v>28000</v>
      </c>
    </row>
    <row r="24" spans="1:16" s="54" customFormat="1" ht="13.5" customHeight="1">
      <c r="A24" s="99" t="s">
        <v>37</v>
      </c>
      <c r="B24" s="93">
        <f>'MOBILE STOCK'!B25</f>
        <v>0</v>
      </c>
      <c r="C24" s="93">
        <f>'MOBILE STOCK'!C25</f>
        <v>0</v>
      </c>
      <c r="D24" s="93">
        <f>'MOBILE STOCK'!D25</f>
        <v>0</v>
      </c>
      <c r="E24" s="93">
        <f>'MOBILE STOCK'!E25</f>
        <v>0</v>
      </c>
      <c r="F24" s="93">
        <f>'MOBILE STOCK'!F25</f>
        <v>0</v>
      </c>
      <c r="G24" s="93">
        <f>'MOBILE STOCK'!G25</f>
        <v>0</v>
      </c>
      <c r="H24" s="93">
        <f>'MOBILE STOCK'!H25</f>
        <v>0</v>
      </c>
      <c r="I24" s="93">
        <f>'MOBILE STOCK'!I25</f>
        <v>0</v>
      </c>
      <c r="J24" s="93">
        <f>'MOBILE STOCK'!J25</f>
        <v>0</v>
      </c>
      <c r="K24" s="93">
        <f>'MOBILE STOCK'!K25</f>
        <v>0</v>
      </c>
      <c r="L24" s="94">
        <f>'MOBILE STOCK'!L25</f>
        <v>0</v>
      </c>
      <c r="M24" s="95">
        <f t="shared" si="0"/>
        <v>0</v>
      </c>
      <c r="N24" s="96">
        <f>L24*L2+K24*K2+J24*J2+I24*I2+H24*H2+G24*G2+F24*F2+E24*E2+D24*D2+C24*C2+B24*B2</f>
        <v>0</v>
      </c>
      <c r="O24" s="100">
        <f>'MOBILE STOCK'!V25</f>
        <v>0</v>
      </c>
      <c r="P24" s="97">
        <f>'MOBILE STOCK'!W25</f>
        <v>0</v>
      </c>
    </row>
    <row r="25" spans="1:16" s="54" customFormat="1" ht="13.5" customHeight="1">
      <c r="A25" s="101" t="s">
        <v>29</v>
      </c>
      <c r="B25" s="93">
        <f>DSO!B24</f>
        <v>0</v>
      </c>
      <c r="C25" s="93">
        <f>'MOBILE STOCK'!C26</f>
        <v>0</v>
      </c>
      <c r="D25" s="93">
        <f>'MOBILE STOCK'!D26</f>
        <v>0</v>
      </c>
      <c r="E25" s="93">
        <f>'MOBILE STOCK'!E26</f>
        <v>0</v>
      </c>
      <c r="F25" s="93">
        <f>'MOBILE STOCK'!F26</f>
        <v>0</v>
      </c>
      <c r="G25" s="93">
        <f>'MOBILE STOCK'!G26</f>
        <v>0</v>
      </c>
      <c r="H25" s="93">
        <f>'MOBILE STOCK'!H26</f>
        <v>0</v>
      </c>
      <c r="I25" s="93">
        <f>'MOBILE STOCK'!I26</f>
        <v>0</v>
      </c>
      <c r="J25" s="93">
        <f>'MOBILE STOCK'!J26</f>
        <v>0</v>
      </c>
      <c r="K25" s="93">
        <f>DSO!K24</f>
        <v>0</v>
      </c>
      <c r="L25" s="94">
        <f>DSO!L24</f>
        <v>0</v>
      </c>
      <c r="M25" s="95">
        <f t="shared" si="0"/>
        <v>0</v>
      </c>
      <c r="N25" s="102">
        <f>DSO!U24</f>
        <v>0</v>
      </c>
      <c r="O25" s="100">
        <f>'MOBILE STOCK'!V26</f>
        <v>0</v>
      </c>
      <c r="P25" s="103">
        <f>DSO!W24</f>
        <v>0</v>
      </c>
    </row>
    <row r="26" spans="1:16">
      <c r="A26" s="44" t="s">
        <v>38</v>
      </c>
      <c r="B26" s="104">
        <f>SUM(B4:B25)</f>
        <v>280</v>
      </c>
      <c r="C26" s="104">
        <f>SUM(C4:C25)</f>
        <v>19</v>
      </c>
      <c r="D26" s="104">
        <f t="shared" ref="D26:O26" si="1">SUM(D4:D24)</f>
        <v>1</v>
      </c>
      <c r="E26" s="104">
        <f t="shared" si="1"/>
        <v>0</v>
      </c>
      <c r="F26" s="104">
        <f t="shared" si="1"/>
        <v>0</v>
      </c>
      <c r="G26" s="104">
        <f t="shared" si="1"/>
        <v>0</v>
      </c>
      <c r="H26" s="104">
        <f t="shared" si="1"/>
        <v>0</v>
      </c>
      <c r="I26" s="104">
        <f t="shared" si="1"/>
        <v>0</v>
      </c>
      <c r="J26" s="104">
        <f t="shared" si="1"/>
        <v>2</v>
      </c>
      <c r="K26" s="104">
        <f>SUM(K4:K25)</f>
        <v>340</v>
      </c>
      <c r="L26" s="105">
        <f>SUM(L4:L25)</f>
        <v>14</v>
      </c>
      <c r="M26" s="106">
        <f t="shared" si="1"/>
        <v>656</v>
      </c>
      <c r="N26" s="106">
        <f t="shared" si="1"/>
        <v>187490</v>
      </c>
      <c r="O26" s="106">
        <f t="shared" si="1"/>
        <v>13890</v>
      </c>
      <c r="P26" s="107">
        <f>SUM(P4:P25)</f>
        <v>805277</v>
      </c>
    </row>
    <row r="28" spans="1:16">
      <c r="A28" s="149" t="s">
        <v>39</v>
      </c>
      <c r="B28" s="171" t="s">
        <v>40</v>
      </c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3"/>
      <c r="N28" s="108"/>
    </row>
    <row r="29" spans="1:16">
      <c r="A29" s="150"/>
      <c r="B29" s="2">
        <v>280</v>
      </c>
      <c r="C29" s="3">
        <v>350</v>
      </c>
      <c r="D29" s="3">
        <v>1000</v>
      </c>
      <c r="E29" s="3">
        <v>500</v>
      </c>
      <c r="F29" s="3">
        <v>2000</v>
      </c>
      <c r="G29" s="3">
        <v>7400</v>
      </c>
      <c r="H29" s="3">
        <v>5350</v>
      </c>
      <c r="I29" s="3">
        <v>2100</v>
      </c>
      <c r="J29" s="3">
        <v>390</v>
      </c>
      <c r="K29" s="3">
        <v>280</v>
      </c>
      <c r="L29" s="4">
        <v>390</v>
      </c>
      <c r="M29" s="179" t="s">
        <v>41</v>
      </c>
      <c r="N29" s="183"/>
    </row>
    <row r="30" spans="1:16" ht="15" customHeight="1">
      <c r="A30" s="151"/>
      <c r="B30" s="6" t="s">
        <v>7</v>
      </c>
      <c r="C30" s="7" t="s">
        <v>8</v>
      </c>
      <c r="D30" s="7" t="s">
        <v>9</v>
      </c>
      <c r="E30" s="7" t="s">
        <v>10</v>
      </c>
      <c r="F30" s="7" t="s">
        <v>11</v>
      </c>
      <c r="G30" s="7" t="s">
        <v>12</v>
      </c>
      <c r="H30" s="7" t="s">
        <v>13</v>
      </c>
      <c r="I30" s="7" t="s">
        <v>14</v>
      </c>
      <c r="J30" s="7" t="s">
        <v>15</v>
      </c>
      <c r="K30" s="7" t="s">
        <v>16</v>
      </c>
      <c r="L30" s="8" t="s">
        <v>17</v>
      </c>
      <c r="M30" s="180"/>
      <c r="N30" s="183"/>
    </row>
    <row r="31" spans="1:16" ht="15" customHeight="1">
      <c r="A31" s="109" t="s">
        <v>42</v>
      </c>
      <c r="B31" s="110">
        <v>1727</v>
      </c>
      <c r="C31" s="111">
        <v>466</v>
      </c>
      <c r="D31" s="111">
        <v>5</v>
      </c>
      <c r="E31" s="111"/>
      <c r="F31" s="111">
        <v>16</v>
      </c>
      <c r="G31" s="112"/>
      <c r="H31" s="112"/>
      <c r="I31" s="112"/>
      <c r="J31" s="112">
        <v>20</v>
      </c>
      <c r="K31" s="112">
        <v>1010</v>
      </c>
      <c r="L31" s="112">
        <v>210</v>
      </c>
      <c r="M31" s="113">
        <f t="shared" ref="M31:M42" si="2">SUM(B31:L31)</f>
        <v>3454</v>
      </c>
      <c r="N31" s="114"/>
    </row>
    <row r="32" spans="1:16">
      <c r="A32" s="115"/>
      <c r="B32" s="116"/>
      <c r="C32" s="117"/>
      <c r="D32" s="117"/>
      <c r="E32" s="117"/>
      <c r="F32" s="117"/>
      <c r="G32" s="118"/>
      <c r="H32" s="118"/>
      <c r="I32" s="118"/>
      <c r="J32" s="118"/>
      <c r="K32" s="118"/>
      <c r="L32" s="118"/>
      <c r="M32" s="113">
        <f t="shared" si="2"/>
        <v>0</v>
      </c>
      <c r="N32" s="114"/>
    </row>
    <row r="33" spans="1:14">
      <c r="A33" s="119"/>
      <c r="B33" s="116"/>
      <c r="C33" s="117"/>
      <c r="D33" s="117"/>
      <c r="E33" s="117"/>
      <c r="F33" s="117"/>
      <c r="G33" s="118"/>
      <c r="H33" s="118"/>
      <c r="I33" s="118"/>
      <c r="J33" s="118"/>
      <c r="K33" s="118"/>
      <c r="L33" s="118"/>
      <c r="M33" s="113">
        <f t="shared" si="2"/>
        <v>0</v>
      </c>
      <c r="N33" s="114"/>
    </row>
    <row r="34" spans="1:14">
      <c r="A34" s="120"/>
      <c r="B34" s="116"/>
      <c r="C34" s="117"/>
      <c r="D34" s="117"/>
      <c r="E34" s="117"/>
      <c r="F34" s="117"/>
      <c r="G34" s="118"/>
      <c r="H34" s="118"/>
      <c r="I34" s="118"/>
      <c r="J34" s="118"/>
      <c r="K34" s="118"/>
      <c r="L34" s="118"/>
      <c r="M34" s="113">
        <f t="shared" si="2"/>
        <v>0</v>
      </c>
      <c r="N34" s="114"/>
    </row>
    <row r="35" spans="1:14">
      <c r="A35" s="120"/>
      <c r="B35" s="116"/>
      <c r="C35" s="117"/>
      <c r="D35" s="117"/>
      <c r="E35" s="117"/>
      <c r="F35" s="117"/>
      <c r="G35" s="118"/>
      <c r="H35" s="118"/>
      <c r="I35" s="118"/>
      <c r="J35" s="118"/>
      <c r="K35" s="118"/>
      <c r="L35" s="118"/>
      <c r="M35" s="113">
        <f t="shared" si="2"/>
        <v>0</v>
      </c>
      <c r="N35" s="84"/>
    </row>
    <row r="36" spans="1:14">
      <c r="A36" s="120"/>
      <c r="B36" s="116"/>
      <c r="C36" s="117"/>
      <c r="D36" s="117"/>
      <c r="E36" s="117"/>
      <c r="F36" s="117"/>
      <c r="G36" s="118"/>
      <c r="H36" s="118"/>
      <c r="I36" s="118"/>
      <c r="J36" s="118"/>
      <c r="K36" s="118"/>
      <c r="L36" s="118"/>
      <c r="M36" s="113">
        <f t="shared" si="2"/>
        <v>0</v>
      </c>
      <c r="N36" s="114"/>
    </row>
    <row r="37" spans="1:14">
      <c r="A37" s="120"/>
      <c r="B37" s="116"/>
      <c r="C37" s="117"/>
      <c r="D37" s="117"/>
      <c r="E37" s="117"/>
      <c r="F37" s="117"/>
      <c r="G37" s="118"/>
      <c r="H37" s="118"/>
      <c r="I37" s="118"/>
      <c r="J37" s="118"/>
      <c r="K37" s="118"/>
      <c r="L37" s="118"/>
      <c r="M37" s="113">
        <f t="shared" si="2"/>
        <v>0</v>
      </c>
      <c r="N37" s="114"/>
    </row>
    <row r="38" spans="1:14">
      <c r="A38" s="120"/>
      <c r="B38" s="116"/>
      <c r="C38" s="117"/>
      <c r="D38" s="117"/>
      <c r="E38" s="117"/>
      <c r="F38" s="117"/>
      <c r="G38" s="118"/>
      <c r="H38" s="118"/>
      <c r="I38" s="118"/>
      <c r="J38" s="118"/>
      <c r="K38" s="118"/>
      <c r="L38" s="118"/>
      <c r="M38" s="113">
        <f t="shared" si="2"/>
        <v>0</v>
      </c>
      <c r="N38" s="114"/>
    </row>
    <row r="39" spans="1:14">
      <c r="A39" s="120"/>
      <c r="B39" s="116"/>
      <c r="C39" s="117"/>
      <c r="D39" s="117"/>
      <c r="E39" s="117"/>
      <c r="F39" s="117"/>
      <c r="G39" s="118"/>
      <c r="H39" s="118"/>
      <c r="I39" s="118"/>
      <c r="J39" s="118"/>
      <c r="K39" s="118"/>
      <c r="L39" s="118"/>
      <c r="M39" s="113">
        <f t="shared" si="2"/>
        <v>0</v>
      </c>
      <c r="N39" s="114"/>
    </row>
    <row r="40" spans="1:14">
      <c r="A40" s="120"/>
      <c r="B40" s="116"/>
      <c r="C40" s="117"/>
      <c r="D40" s="117"/>
      <c r="E40" s="117"/>
      <c r="F40" s="117"/>
      <c r="G40" s="118"/>
      <c r="H40" s="118"/>
      <c r="I40" s="118"/>
      <c r="J40" s="118"/>
      <c r="K40" s="118"/>
      <c r="L40" s="118"/>
      <c r="M40" s="113">
        <f t="shared" si="2"/>
        <v>0</v>
      </c>
      <c r="N40" s="114"/>
    </row>
    <row r="41" spans="1:14" ht="15" customHeight="1">
      <c r="A41" s="121"/>
      <c r="B41" s="122"/>
      <c r="C41" s="123"/>
      <c r="D41" s="123"/>
      <c r="E41" s="123"/>
      <c r="F41" s="123"/>
      <c r="G41" s="124"/>
      <c r="H41" s="124"/>
      <c r="I41" s="124"/>
      <c r="J41" s="124"/>
      <c r="K41" s="124"/>
      <c r="L41" s="124"/>
      <c r="M41" s="113">
        <f t="shared" si="2"/>
        <v>0</v>
      </c>
      <c r="N41" s="114"/>
    </row>
    <row r="42" spans="1:14" ht="24" customHeight="1">
      <c r="A42" s="125" t="s">
        <v>43</v>
      </c>
      <c r="B42" s="126">
        <f>SUM(B31:B41)</f>
        <v>1727</v>
      </c>
      <c r="C42" s="126">
        <f t="shared" ref="C42:L42" si="3">SUM(C31:C41)</f>
        <v>466</v>
      </c>
      <c r="D42" s="126">
        <f t="shared" si="3"/>
        <v>5</v>
      </c>
      <c r="E42" s="126">
        <f t="shared" si="3"/>
        <v>0</v>
      </c>
      <c r="F42" s="126">
        <f t="shared" si="3"/>
        <v>16</v>
      </c>
      <c r="G42" s="126">
        <f t="shared" si="3"/>
        <v>0</v>
      </c>
      <c r="H42" s="126">
        <f t="shared" si="3"/>
        <v>0</v>
      </c>
      <c r="I42" s="126">
        <f t="shared" si="3"/>
        <v>0</v>
      </c>
      <c r="J42" s="126">
        <f t="shared" si="3"/>
        <v>20</v>
      </c>
      <c r="K42" s="126">
        <f t="shared" si="3"/>
        <v>1010</v>
      </c>
      <c r="L42" s="126">
        <f t="shared" si="3"/>
        <v>210</v>
      </c>
      <c r="M42" s="127">
        <f t="shared" si="2"/>
        <v>3454</v>
      </c>
      <c r="N42" s="114"/>
    </row>
    <row r="43" spans="1:14" ht="19.7" customHeight="1">
      <c r="A43" s="85"/>
      <c r="N43" s="128"/>
    </row>
    <row r="44" spans="1:14" ht="24" customHeight="1">
      <c r="A44" s="125" t="s">
        <v>44</v>
      </c>
      <c r="B44" s="126">
        <f>B26</f>
        <v>280</v>
      </c>
      <c r="C44" s="126">
        <f t="shared" ref="C44:L44" si="4">C26</f>
        <v>19</v>
      </c>
      <c r="D44" s="126">
        <f t="shared" si="4"/>
        <v>1</v>
      </c>
      <c r="E44" s="126">
        <f t="shared" si="4"/>
        <v>0</v>
      </c>
      <c r="F44" s="126">
        <f t="shared" si="4"/>
        <v>0</v>
      </c>
      <c r="G44" s="126">
        <f t="shared" si="4"/>
        <v>0</v>
      </c>
      <c r="H44" s="126">
        <f t="shared" si="4"/>
        <v>0</v>
      </c>
      <c r="I44" s="126">
        <f t="shared" si="4"/>
        <v>0</v>
      </c>
      <c r="J44" s="126">
        <f t="shared" si="4"/>
        <v>2</v>
      </c>
      <c r="K44" s="126">
        <f t="shared" si="4"/>
        <v>340</v>
      </c>
      <c r="L44" s="126">
        <f t="shared" si="4"/>
        <v>14</v>
      </c>
      <c r="M44" s="129">
        <f>SUM(B44:L44)</f>
        <v>656</v>
      </c>
      <c r="N44" s="114"/>
    </row>
    <row r="45" spans="1:14" ht="19.7" customHeight="1">
      <c r="A45" s="85"/>
      <c r="N45" s="128"/>
    </row>
    <row r="46" spans="1:14">
      <c r="A46" s="125" t="s">
        <v>45</v>
      </c>
      <c r="B46" s="126">
        <f>B42-B44</f>
        <v>1447</v>
      </c>
      <c r="C46" s="126">
        <f t="shared" ref="C46:L46" si="5">C42-C44</f>
        <v>447</v>
      </c>
      <c r="D46" s="126">
        <f t="shared" si="5"/>
        <v>4</v>
      </c>
      <c r="E46" s="126">
        <f t="shared" si="5"/>
        <v>0</v>
      </c>
      <c r="F46" s="126">
        <f t="shared" si="5"/>
        <v>16</v>
      </c>
      <c r="G46" s="126">
        <f t="shared" si="5"/>
        <v>0</v>
      </c>
      <c r="H46" s="126">
        <f t="shared" si="5"/>
        <v>0</v>
      </c>
      <c r="I46" s="126">
        <f t="shared" si="5"/>
        <v>0</v>
      </c>
      <c r="J46" s="117">
        <f t="shared" si="5"/>
        <v>18</v>
      </c>
      <c r="K46" s="130">
        <f t="shared" si="5"/>
        <v>670</v>
      </c>
      <c r="L46" s="130">
        <f t="shared" si="5"/>
        <v>196</v>
      </c>
      <c r="M46" s="129">
        <f>SUM(B46:L46)</f>
        <v>2798</v>
      </c>
      <c r="N46" s="114"/>
    </row>
    <row r="47" spans="1:14" ht="15.75" customHeight="1">
      <c r="N47" s="128"/>
    </row>
    <row r="48" spans="1:14">
      <c r="A48" s="125" t="s">
        <v>46</v>
      </c>
      <c r="B48" s="126">
        <f>B46*B29</f>
        <v>405160</v>
      </c>
      <c r="C48" s="126">
        <f t="shared" ref="C48:L48" si="6">C46*C29</f>
        <v>156450</v>
      </c>
      <c r="D48" s="126">
        <f t="shared" si="6"/>
        <v>4000</v>
      </c>
      <c r="E48" s="126">
        <f t="shared" si="6"/>
        <v>0</v>
      </c>
      <c r="F48" s="126">
        <f t="shared" si="6"/>
        <v>32000</v>
      </c>
      <c r="G48" s="126">
        <f t="shared" si="6"/>
        <v>0</v>
      </c>
      <c r="H48" s="126">
        <f t="shared" si="6"/>
        <v>0</v>
      </c>
      <c r="I48" s="126">
        <f t="shared" si="6"/>
        <v>0</v>
      </c>
      <c r="J48" s="126">
        <f t="shared" si="6"/>
        <v>7020</v>
      </c>
      <c r="K48" s="126">
        <f t="shared" si="6"/>
        <v>187600</v>
      </c>
      <c r="L48" s="126">
        <f t="shared" si="6"/>
        <v>76440</v>
      </c>
      <c r="M48" s="129">
        <f>SUM(B48:L48)</f>
        <v>868670</v>
      </c>
      <c r="N48" s="114"/>
    </row>
    <row r="49" spans="2:16" ht="12.75" customHeight="1">
      <c r="E49" s="83" t="s">
        <v>47</v>
      </c>
    </row>
    <row r="50" spans="2:16" ht="14.25" customHeight="1">
      <c r="K50" s="83" t="s">
        <v>48</v>
      </c>
    </row>
    <row r="51" spans="2:16">
      <c r="I51" s="128"/>
      <c r="J51" s="131"/>
      <c r="K51" s="128"/>
      <c r="L51" s="128"/>
      <c r="M51" s="128"/>
    </row>
    <row r="52" spans="2:16">
      <c r="B52" s="174" t="s">
        <v>49</v>
      </c>
      <c r="C52" s="175"/>
      <c r="D52" s="175"/>
      <c r="E52" s="175"/>
      <c r="F52" s="175"/>
      <c r="G52" s="176"/>
      <c r="I52" s="128"/>
      <c r="J52" s="128"/>
      <c r="K52" s="128"/>
      <c r="L52" s="128"/>
      <c r="M52" s="128"/>
    </row>
    <row r="53" spans="2:16">
      <c r="B53" s="152" t="s">
        <v>50</v>
      </c>
      <c r="C53" s="153"/>
      <c r="D53" s="132"/>
      <c r="E53" s="154"/>
      <c r="F53" s="155"/>
      <c r="G53" s="156"/>
      <c r="I53" s="133"/>
      <c r="J53" s="133"/>
      <c r="K53" s="134"/>
      <c r="L53" s="134"/>
      <c r="M53" s="134"/>
      <c r="O53" s="83"/>
      <c r="P53" s="83"/>
    </row>
    <row r="54" spans="2:16">
      <c r="B54" s="152" t="s">
        <v>51</v>
      </c>
      <c r="C54" s="153"/>
      <c r="D54" s="132"/>
      <c r="E54" s="154"/>
      <c r="F54" s="155"/>
      <c r="G54" s="156"/>
      <c r="I54" s="133"/>
      <c r="J54" s="133"/>
      <c r="K54" s="128"/>
      <c r="L54" s="128"/>
      <c r="M54" s="128"/>
      <c r="O54" s="83"/>
      <c r="P54" s="83"/>
    </row>
    <row r="55" spans="2:16">
      <c r="B55" s="152"/>
      <c r="C55" s="153"/>
      <c r="D55" s="132"/>
      <c r="E55" s="154"/>
      <c r="F55" s="155"/>
      <c r="G55" s="156"/>
      <c r="I55" s="133"/>
      <c r="J55" s="133"/>
      <c r="K55" s="135"/>
      <c r="L55" s="135"/>
      <c r="M55" s="136"/>
      <c r="N55" s="128"/>
      <c r="O55" s="128"/>
      <c r="P55" s="83"/>
    </row>
    <row r="56" spans="2:16">
      <c r="B56" s="164"/>
      <c r="C56" s="153"/>
      <c r="D56" s="132"/>
      <c r="E56" s="137"/>
      <c r="F56" s="138"/>
      <c r="G56" s="139"/>
      <c r="I56" s="133"/>
      <c r="J56" s="133"/>
      <c r="K56" s="135"/>
      <c r="L56" s="135"/>
      <c r="M56" s="136"/>
      <c r="N56" s="128"/>
      <c r="O56" s="128"/>
      <c r="P56" s="83"/>
    </row>
    <row r="57" spans="2:16">
      <c r="B57" s="152"/>
      <c r="C57" s="153"/>
      <c r="D57" s="132"/>
      <c r="E57" s="161"/>
      <c r="F57" s="162"/>
      <c r="G57" s="163"/>
      <c r="I57" s="133"/>
      <c r="J57" s="133"/>
      <c r="K57" s="135"/>
      <c r="L57" s="135"/>
      <c r="M57" s="136"/>
      <c r="N57" s="128"/>
      <c r="O57" s="128"/>
      <c r="P57" s="83"/>
    </row>
    <row r="58" spans="2:16">
      <c r="B58" s="164"/>
      <c r="C58" s="153"/>
      <c r="D58" s="132"/>
      <c r="E58" s="140"/>
      <c r="F58" s="141"/>
      <c r="G58" s="142"/>
      <c r="H58" s="84"/>
      <c r="I58" s="133"/>
      <c r="J58" s="128"/>
      <c r="K58" s="128"/>
      <c r="L58" s="135"/>
      <c r="M58" s="136"/>
      <c r="N58" s="128"/>
      <c r="O58" s="128"/>
      <c r="P58" s="83"/>
    </row>
    <row r="59" spans="2:16">
      <c r="B59" s="152"/>
      <c r="C59" s="153"/>
      <c r="D59" s="132"/>
      <c r="E59" s="165"/>
      <c r="F59" s="166"/>
      <c r="G59" s="167"/>
      <c r="H59" s="84"/>
      <c r="I59" s="133"/>
      <c r="J59" s="128"/>
      <c r="K59" s="135"/>
      <c r="L59" s="135"/>
      <c r="M59" s="136"/>
      <c r="N59" s="128"/>
      <c r="O59" s="128"/>
      <c r="P59" s="83"/>
    </row>
    <row r="60" spans="2:16">
      <c r="B60" s="152"/>
      <c r="C60" s="153"/>
      <c r="D60" s="143"/>
      <c r="E60" s="154"/>
      <c r="F60" s="155"/>
      <c r="G60" s="156"/>
      <c r="H60" s="84"/>
      <c r="I60" s="84"/>
      <c r="K60" s="135"/>
      <c r="L60" s="135"/>
      <c r="M60" s="136"/>
      <c r="O60" s="83"/>
      <c r="P60" s="83"/>
    </row>
    <row r="61" spans="2:16">
      <c r="B61" s="152" t="s">
        <v>52</v>
      </c>
      <c r="C61" s="153"/>
      <c r="D61" s="143"/>
      <c r="E61" s="154"/>
      <c r="F61" s="155"/>
      <c r="G61" s="156"/>
      <c r="H61" s="84"/>
      <c r="I61" s="84"/>
      <c r="K61" s="135"/>
      <c r="L61" s="135"/>
      <c r="M61" s="136"/>
      <c r="O61" s="83"/>
      <c r="P61" s="83"/>
    </row>
    <row r="62" spans="2:16">
      <c r="B62" s="157" t="s">
        <v>53</v>
      </c>
      <c r="C62" s="157"/>
      <c r="D62" s="144">
        <v>0</v>
      </c>
      <c r="E62" s="158"/>
      <c r="F62" s="159"/>
      <c r="G62" s="160"/>
      <c r="H62" s="84"/>
      <c r="I62" s="84"/>
      <c r="K62" s="135"/>
      <c r="L62" s="135"/>
      <c r="M62" s="136"/>
      <c r="O62" s="83"/>
      <c r="P62" s="83"/>
    </row>
    <row r="63" spans="2:16">
      <c r="B63" s="133"/>
      <c r="C63" s="133"/>
      <c r="D63" s="128"/>
      <c r="E63" s="128"/>
      <c r="F63" s="128"/>
      <c r="G63" s="128"/>
      <c r="H63" s="128"/>
      <c r="I63" s="84"/>
      <c r="J63" s="84"/>
      <c r="K63" s="135"/>
      <c r="L63" s="135"/>
      <c r="M63" s="136"/>
      <c r="O63" s="83"/>
      <c r="P63" s="83"/>
    </row>
    <row r="64" spans="2:16">
      <c r="B64" s="148"/>
      <c r="C64" s="148"/>
      <c r="D64" s="128"/>
      <c r="E64" s="128"/>
      <c r="F64" s="128"/>
      <c r="G64" s="128"/>
      <c r="H64" s="145"/>
      <c r="I64" s="84"/>
      <c r="J64" s="84"/>
      <c r="K64" s="135"/>
      <c r="L64" s="135"/>
      <c r="M64" s="136"/>
      <c r="O64" s="83"/>
      <c r="P64" s="83"/>
    </row>
    <row r="65" spans="2:16">
      <c r="B65" s="148"/>
      <c r="C65" s="148"/>
      <c r="D65" s="128"/>
      <c r="E65" s="146"/>
      <c r="F65" s="128"/>
      <c r="G65" s="128"/>
      <c r="I65" s="84"/>
      <c r="J65" s="84"/>
      <c r="K65" s="135"/>
      <c r="L65" s="135"/>
      <c r="M65" s="136"/>
      <c r="O65" s="83"/>
      <c r="P65" s="83"/>
    </row>
    <row r="66" spans="2:16">
      <c r="B66" s="133"/>
      <c r="C66" s="133"/>
      <c r="D66" s="128"/>
      <c r="E66" s="128"/>
      <c r="F66" s="128"/>
      <c r="G66" s="128"/>
      <c r="I66" s="84"/>
      <c r="J66" s="84"/>
      <c r="K66" s="135"/>
      <c r="L66" s="135"/>
      <c r="M66" s="136"/>
      <c r="O66" s="83"/>
      <c r="P66" s="83"/>
    </row>
    <row r="67" spans="2:16">
      <c r="B67" s="148"/>
      <c r="C67" s="148"/>
      <c r="D67" s="128"/>
      <c r="E67" s="148"/>
      <c r="F67" s="148"/>
      <c r="G67" s="128"/>
      <c r="K67" s="135"/>
      <c r="L67" s="135"/>
      <c r="M67" s="136"/>
    </row>
    <row r="68" spans="2:16">
      <c r="B68" s="133"/>
      <c r="C68" s="133"/>
      <c r="D68" s="133"/>
      <c r="E68" s="128"/>
      <c r="F68" s="128"/>
      <c r="G68" s="128"/>
      <c r="K68" s="135"/>
      <c r="L68" s="135"/>
      <c r="M68" s="136"/>
    </row>
    <row r="69" spans="2:16">
      <c r="G69" s="128"/>
      <c r="K69" s="135"/>
      <c r="L69" s="135"/>
      <c r="M69" s="136"/>
    </row>
    <row r="70" spans="2:16">
      <c r="G70" s="128"/>
      <c r="K70" s="135"/>
      <c r="L70" s="135"/>
      <c r="M70" s="136"/>
    </row>
    <row r="71" spans="2:16">
      <c r="K71" s="135"/>
      <c r="L71" s="135"/>
      <c r="M71" s="136"/>
    </row>
    <row r="72" spans="2:16">
      <c r="K72" s="135"/>
      <c r="L72" s="135"/>
      <c r="M72" s="136"/>
    </row>
    <row r="73" spans="2:16">
      <c r="K73" s="135"/>
      <c r="L73" s="135"/>
      <c r="M73" s="136"/>
    </row>
    <row r="74" spans="2:16">
      <c r="K74" s="135"/>
      <c r="L74" s="135"/>
      <c r="M74" s="136"/>
    </row>
    <row r="75" spans="2:16">
      <c r="K75" s="135"/>
      <c r="L75" s="135"/>
      <c r="M75" s="136"/>
    </row>
    <row r="76" spans="2:16">
      <c r="K76" s="135"/>
      <c r="L76" s="135"/>
      <c r="M76" s="136"/>
    </row>
    <row r="77" spans="2:16">
      <c r="K77" s="135"/>
      <c r="L77" s="135"/>
      <c r="M77" s="136"/>
    </row>
    <row r="78" spans="2:16">
      <c r="K78" s="135"/>
      <c r="L78" s="135"/>
      <c r="M78" s="136"/>
    </row>
    <row r="79" spans="2:16">
      <c r="K79" s="147"/>
      <c r="L79" s="135"/>
      <c r="M79" s="147"/>
    </row>
    <row r="80" spans="2:16">
      <c r="K80" s="135"/>
      <c r="L80" s="135"/>
      <c r="M80" s="135"/>
    </row>
  </sheetData>
  <mergeCells count="34">
    <mergeCell ref="B1:L1"/>
    <mergeCell ref="M1:P1"/>
    <mergeCell ref="B28:M28"/>
    <mergeCell ref="B52:G52"/>
    <mergeCell ref="B53:C53"/>
    <mergeCell ref="E53:G53"/>
    <mergeCell ref="M2:M3"/>
    <mergeCell ref="M29:M30"/>
    <mergeCell ref="N2:N3"/>
    <mergeCell ref="N29:N30"/>
    <mergeCell ref="O2:O3"/>
    <mergeCell ref="P2:P3"/>
    <mergeCell ref="E59:G59"/>
    <mergeCell ref="B54:C54"/>
    <mergeCell ref="E54:G54"/>
    <mergeCell ref="B55:C55"/>
    <mergeCell ref="E55:G55"/>
    <mergeCell ref="B56:C56"/>
    <mergeCell ref="B64:C64"/>
    <mergeCell ref="B65:C65"/>
    <mergeCell ref="B67:C67"/>
    <mergeCell ref="E67:F67"/>
    <mergeCell ref="A1:A3"/>
    <mergeCell ref="A28:A30"/>
    <mergeCell ref="B60:C60"/>
    <mergeCell ref="E60:G60"/>
    <mergeCell ref="B61:C61"/>
    <mergeCell ref="E61:G61"/>
    <mergeCell ref="B62:C62"/>
    <mergeCell ref="E62:G62"/>
    <mergeCell ref="B57:C57"/>
    <mergeCell ref="E57:G57"/>
    <mergeCell ref="B58:C58"/>
    <mergeCell ref="B59:C5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G30" sqref="G30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 t="shared" ref="T5:T10" si="0">P5+Q5+R5+S5</f>
        <v>0</v>
      </c>
      <c r="U5" s="17">
        <f t="shared" ref="U5:U10" si="1"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68"/>
      <c r="P6" s="25"/>
      <c r="Q6" s="25"/>
      <c r="R6" s="25"/>
      <c r="S6" s="25"/>
      <c r="T6" s="29">
        <f t="shared" si="0"/>
        <v>0</v>
      </c>
      <c r="U6" s="26">
        <f t="shared" si="1"/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ref="T11:T24" si="5">P11+Q11+R11+S11</f>
        <v>0</v>
      </c>
      <c r="U11" s="26">
        <f t="shared" ref="U11:U24" si="6">N11</f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5"/>
        <v>0</v>
      </c>
      <c r="U12" s="26">
        <f t="shared" si="6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5"/>
        <v>0</v>
      </c>
      <c r="U13" s="26">
        <f t="shared" si="6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5"/>
        <v>0</v>
      </c>
      <c r="U14" s="26">
        <f t="shared" si="6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5"/>
        <v>0</v>
      </c>
      <c r="U15" s="26">
        <f t="shared" si="6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5"/>
        <v>0</v>
      </c>
      <c r="U16" s="26">
        <f t="shared" si="6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5"/>
        <v>0</v>
      </c>
      <c r="U17" s="26">
        <f t="shared" si="6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5"/>
        <v>0</v>
      </c>
      <c r="U18" s="26">
        <f t="shared" si="6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5"/>
        <v>0</v>
      </c>
      <c r="U19" s="26">
        <f t="shared" si="6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5"/>
        <v>0</v>
      </c>
      <c r="U20" s="26">
        <f t="shared" si="6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5"/>
        <v>0</v>
      </c>
      <c r="U21" s="26">
        <f t="shared" si="6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5"/>
        <v>0</v>
      </c>
      <c r="U22" s="26">
        <f t="shared" si="6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5"/>
        <v>0</v>
      </c>
      <c r="U23" s="26">
        <f t="shared" si="6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5"/>
        <v>0</v>
      </c>
      <c r="U24" s="38">
        <f t="shared" si="6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7">SUM(C5:C24)</f>
        <v>0</v>
      </c>
      <c r="D25" s="45">
        <f t="shared" si="7"/>
        <v>0</v>
      </c>
      <c r="E25" s="45">
        <f t="shared" si="7"/>
        <v>0</v>
      </c>
      <c r="F25" s="45">
        <f t="shared" si="7"/>
        <v>0</v>
      </c>
      <c r="G25" s="45">
        <f t="shared" si="7"/>
        <v>0</v>
      </c>
      <c r="H25" s="45">
        <f t="shared" si="7"/>
        <v>0</v>
      </c>
      <c r="I25" s="45">
        <f t="shared" si="7"/>
        <v>0</v>
      </c>
      <c r="J25" s="45">
        <f t="shared" si="7"/>
        <v>0</v>
      </c>
      <c r="K25" s="45">
        <f t="shared" si="7"/>
        <v>0</v>
      </c>
      <c r="L25" s="45">
        <f t="shared" si="7"/>
        <v>0</v>
      </c>
      <c r="M25" s="79">
        <f t="shared" si="7"/>
        <v>0</v>
      </c>
      <c r="N25" s="79">
        <f t="shared" si="7"/>
        <v>0</v>
      </c>
      <c r="O25" s="46"/>
      <c r="P25" s="45">
        <f>SUM(P5:P24)</f>
        <v>0</v>
      </c>
      <c r="Q25" s="45">
        <f>SUM(Q5:Q24)</f>
        <v>0</v>
      </c>
      <c r="R25" s="45">
        <f>SUM(R5:R24)</f>
        <v>0</v>
      </c>
      <c r="S25" s="45">
        <f t="shared" si="7"/>
        <v>0</v>
      </c>
      <c r="T25" s="45">
        <f t="shared" si="7"/>
        <v>0</v>
      </c>
      <c r="U25" s="45">
        <f t="shared" si="7"/>
        <v>0</v>
      </c>
      <c r="V25" s="45">
        <f t="shared" si="7"/>
        <v>0</v>
      </c>
      <c r="W25" s="66">
        <f>SUM(W3:W24)</f>
        <v>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I16" sqref="I16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56592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63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0">
        <f t="shared" ref="T6:T16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0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68"/>
      <c r="P8" s="25"/>
      <c r="Q8" s="25"/>
      <c r="R8" s="25"/>
      <c r="S8" s="25"/>
      <c r="T8" s="20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0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0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0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0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0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0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0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0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ref="T17:T24" si="5">P17+Q17+R17+S17</f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5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5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5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5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5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5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5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6">SUM(C5:C24)</f>
        <v>0</v>
      </c>
      <c r="D25" s="45">
        <f t="shared" si="6"/>
        <v>0</v>
      </c>
      <c r="E25" s="45">
        <f t="shared" si="6"/>
        <v>0</v>
      </c>
      <c r="F25" s="45">
        <f t="shared" si="6"/>
        <v>0</v>
      </c>
      <c r="G25" s="45">
        <f t="shared" si="6"/>
        <v>0</v>
      </c>
      <c r="H25" s="45">
        <f t="shared" si="6"/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6"/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45">
        <f t="shared" si="6"/>
        <v>0</v>
      </c>
      <c r="V25" s="45">
        <f t="shared" si="6"/>
        <v>0</v>
      </c>
      <c r="W25" s="66">
        <f>SUM(W3:W24)</f>
        <v>56592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topLeftCell="I1" workbookViewId="0">
      <selection activeCell="W3" sqref="W3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230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63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T32" sqref="T32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59015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>
        <v>46266</v>
      </c>
      <c r="B5" s="14"/>
      <c r="C5" s="15"/>
      <c r="D5" s="15"/>
      <c r="E5" s="15"/>
      <c r="F5" s="15"/>
      <c r="G5" s="16"/>
      <c r="H5" s="16"/>
      <c r="I5" s="16"/>
      <c r="J5" s="16"/>
      <c r="K5" s="16">
        <v>100</v>
      </c>
      <c r="L5" s="16"/>
      <c r="M5" s="17">
        <f>SUM(B5:L5)</f>
        <v>100</v>
      </c>
      <c r="N5" s="18">
        <f>L5*L3+K5*K3+J5*J3+I5*I3+H5*H3+G5*G3+F5*F3+E5*E3+D5*D3+C5*C3+B5*B3</f>
        <v>28000</v>
      </c>
      <c r="O5" s="19"/>
      <c r="P5" s="16"/>
      <c r="Q5" s="16"/>
      <c r="R5" s="16"/>
      <c r="S5" s="16"/>
      <c r="T5" s="20">
        <f>P5+Q5+R5+S5</f>
        <v>0</v>
      </c>
      <c r="U5" s="17">
        <f>N5</f>
        <v>28000</v>
      </c>
      <c r="V5" s="21">
        <f>T5</f>
        <v>0</v>
      </c>
      <c r="W5" s="22">
        <f>U5-V5</f>
        <v>28000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100</v>
      </c>
      <c r="L25" s="45">
        <f t="shared" si="5"/>
        <v>0</v>
      </c>
      <c r="M25" s="45">
        <f t="shared" si="5"/>
        <v>100</v>
      </c>
      <c r="N25" s="45">
        <f t="shared" si="5"/>
        <v>28000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28000</v>
      </c>
      <c r="V25" s="45">
        <f t="shared" si="5"/>
        <v>0</v>
      </c>
      <c r="W25" s="66">
        <f>SUM(W3:W24)</f>
        <v>87015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D7" sqref="D7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58240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>
        <v>46266</v>
      </c>
      <c r="B5" s="14">
        <v>100</v>
      </c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100</v>
      </c>
      <c r="N5" s="18">
        <f>L5*L3+K5*K3+J5*J3+I5*I3+H5*H3+G5*G3+F5*F3+E5*E3+D5*D3+C5*C3+B5*B3</f>
        <v>28000</v>
      </c>
      <c r="O5" s="19"/>
      <c r="P5" s="16"/>
      <c r="Q5" s="16"/>
      <c r="R5" s="16"/>
      <c r="S5" s="16"/>
      <c r="T5" s="20">
        <f>P5+Q5+R5+S5</f>
        <v>0</v>
      </c>
      <c r="U5" s="17">
        <f>N5</f>
        <v>28000</v>
      </c>
      <c r="V5" s="21">
        <f>T5</f>
        <v>0</v>
      </c>
      <c r="W5" s="22">
        <f>U5-V5</f>
        <v>28000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>P6+Q6+R6+S6</f>
        <v>0</v>
      </c>
      <c r="U6" s="26">
        <f t="shared" ref="U6:U24" si="0">N6</f>
        <v>0</v>
      </c>
      <c r="V6" s="30">
        <f t="shared" ref="V6:V24" si="1">T6</f>
        <v>0</v>
      </c>
      <c r="W6" s="31">
        <f t="shared" ref="W6:W24" si="2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3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ref="T7:T24" si="4">P7+Q7+R7+S7</f>
        <v>0</v>
      </c>
      <c r="U7" s="26">
        <f t="shared" si="0"/>
        <v>0</v>
      </c>
      <c r="V7" s="30">
        <f t="shared" si="1"/>
        <v>0</v>
      </c>
      <c r="W7" s="31">
        <f t="shared" si="2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3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4"/>
        <v>0</v>
      </c>
      <c r="U8" s="26">
        <f t="shared" si="0"/>
        <v>0</v>
      </c>
      <c r="V8" s="30">
        <f t="shared" si="1"/>
        <v>0</v>
      </c>
      <c r="W8" s="31">
        <f t="shared" si="2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3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4"/>
        <v>0</v>
      </c>
      <c r="U9" s="26">
        <f t="shared" si="0"/>
        <v>0</v>
      </c>
      <c r="V9" s="30">
        <f t="shared" si="1"/>
        <v>0</v>
      </c>
      <c r="W9" s="31">
        <f t="shared" si="2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3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4"/>
        <v>0</v>
      </c>
      <c r="U10" s="26">
        <f t="shared" si="0"/>
        <v>0</v>
      </c>
      <c r="V10" s="30">
        <f t="shared" si="1"/>
        <v>0</v>
      </c>
      <c r="W10" s="31">
        <f t="shared" si="2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3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4"/>
        <v>0</v>
      </c>
      <c r="U11" s="26">
        <f t="shared" si="0"/>
        <v>0</v>
      </c>
      <c r="V11" s="30">
        <f t="shared" si="1"/>
        <v>0</v>
      </c>
      <c r="W11" s="31">
        <f t="shared" si="2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3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4"/>
        <v>0</v>
      </c>
      <c r="U12" s="26">
        <f t="shared" si="0"/>
        <v>0</v>
      </c>
      <c r="V12" s="30">
        <f t="shared" si="1"/>
        <v>0</v>
      </c>
      <c r="W12" s="31">
        <f t="shared" si="2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3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4"/>
        <v>0</v>
      </c>
      <c r="U13" s="26">
        <f t="shared" si="0"/>
        <v>0</v>
      </c>
      <c r="V13" s="30">
        <f t="shared" si="1"/>
        <v>0</v>
      </c>
      <c r="W13" s="31">
        <f t="shared" si="2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3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4"/>
        <v>0</v>
      </c>
      <c r="U14" s="26">
        <f t="shared" si="0"/>
        <v>0</v>
      </c>
      <c r="V14" s="30">
        <f t="shared" si="1"/>
        <v>0</v>
      </c>
      <c r="W14" s="31">
        <f t="shared" si="2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3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4"/>
        <v>0</v>
      </c>
      <c r="U15" s="26">
        <f t="shared" si="0"/>
        <v>0</v>
      </c>
      <c r="V15" s="30">
        <f t="shared" si="1"/>
        <v>0</v>
      </c>
      <c r="W15" s="31">
        <f t="shared" si="2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3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4"/>
        <v>0</v>
      </c>
      <c r="U16" s="26">
        <f t="shared" si="0"/>
        <v>0</v>
      </c>
      <c r="V16" s="30">
        <f t="shared" si="1"/>
        <v>0</v>
      </c>
      <c r="W16" s="31">
        <f t="shared" si="2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3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4"/>
        <v>0</v>
      </c>
      <c r="U17" s="26">
        <f t="shared" si="0"/>
        <v>0</v>
      </c>
      <c r="V17" s="30">
        <f t="shared" si="1"/>
        <v>0</v>
      </c>
      <c r="W17" s="31">
        <f t="shared" si="2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3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4"/>
        <v>0</v>
      </c>
      <c r="U18" s="26">
        <f t="shared" si="0"/>
        <v>0</v>
      </c>
      <c r="V18" s="30">
        <f t="shared" si="1"/>
        <v>0</v>
      </c>
      <c r="W18" s="31">
        <f t="shared" si="2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3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4"/>
        <v>0</v>
      </c>
      <c r="U19" s="26">
        <f t="shared" si="0"/>
        <v>0</v>
      </c>
      <c r="V19" s="30">
        <f t="shared" si="1"/>
        <v>0</v>
      </c>
      <c r="W19" s="31">
        <f t="shared" si="2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3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4"/>
        <v>0</v>
      </c>
      <c r="U20" s="26">
        <f t="shared" si="0"/>
        <v>0</v>
      </c>
      <c r="V20" s="30">
        <f t="shared" si="1"/>
        <v>0</v>
      </c>
      <c r="W20" s="31">
        <f t="shared" si="2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3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4"/>
        <v>0</v>
      </c>
      <c r="U21" s="26">
        <f t="shared" si="0"/>
        <v>0</v>
      </c>
      <c r="V21" s="30">
        <f t="shared" si="1"/>
        <v>0</v>
      </c>
      <c r="W21" s="31">
        <f t="shared" si="2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3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4"/>
        <v>0</v>
      </c>
      <c r="U22" s="26">
        <f t="shared" si="0"/>
        <v>0</v>
      </c>
      <c r="V22" s="30">
        <f t="shared" si="1"/>
        <v>0</v>
      </c>
      <c r="W22" s="31">
        <f t="shared" si="2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3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4"/>
        <v>0</v>
      </c>
      <c r="U23" s="26">
        <f t="shared" si="0"/>
        <v>0</v>
      </c>
      <c r="V23" s="30">
        <f t="shared" si="1"/>
        <v>0</v>
      </c>
      <c r="W23" s="31">
        <f t="shared" si="2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3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4"/>
        <v>0</v>
      </c>
      <c r="U24" s="38">
        <f t="shared" si="0"/>
        <v>0</v>
      </c>
      <c r="V24" s="42">
        <f t="shared" si="1"/>
        <v>0</v>
      </c>
      <c r="W24" s="65">
        <f t="shared" si="2"/>
        <v>0</v>
      </c>
    </row>
    <row r="25" spans="1:23" s="54" customFormat="1" ht="19.7" customHeight="1">
      <c r="A25" s="44" t="s">
        <v>38</v>
      </c>
      <c r="B25" s="45">
        <f>SUM(B5:B24)</f>
        <v>100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100</v>
      </c>
      <c r="N25" s="45">
        <f t="shared" si="5"/>
        <v>28000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28000</v>
      </c>
      <c r="V25" s="45">
        <f t="shared" si="5"/>
        <v>0</v>
      </c>
      <c r="W25" s="66">
        <f>SUM(W3:W24)</f>
        <v>86240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25"/>
  <sheetViews>
    <sheetView workbookViewId="0">
      <selection activeCell="H11" sqref="H11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36960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>
        <v>46266</v>
      </c>
      <c r="B5" s="14">
        <v>40</v>
      </c>
      <c r="C5" s="15"/>
      <c r="D5" s="15"/>
      <c r="E5" s="15"/>
      <c r="F5" s="15"/>
      <c r="G5" s="16"/>
      <c r="H5" s="16"/>
      <c r="I5" s="16"/>
      <c r="J5" s="16"/>
      <c r="K5" s="16">
        <v>20</v>
      </c>
      <c r="L5" s="16"/>
      <c r="M5" s="17">
        <f>SUM(B5:L5)</f>
        <v>60</v>
      </c>
      <c r="N5" s="18">
        <f>L5*L3+K5*K3+J5*J3+I5*I3+H5*H3+G5*G3+F5*F3+E5*E3+D5*D3+C5*C3+B5*B3</f>
        <v>16800</v>
      </c>
      <c r="O5" s="19"/>
      <c r="P5" s="16"/>
      <c r="Q5" s="16"/>
      <c r="R5" s="16"/>
      <c r="S5" s="16"/>
      <c r="T5" s="20">
        <f>P5+Q5+R5+S5</f>
        <v>0</v>
      </c>
      <c r="U5" s="17">
        <f>N5</f>
        <v>16800</v>
      </c>
      <c r="V5" s="21">
        <f>T5</f>
        <v>0</v>
      </c>
      <c r="W5" s="22">
        <f>U5-V5</f>
        <v>16800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6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40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20</v>
      </c>
      <c r="L25" s="45">
        <f t="shared" si="5"/>
        <v>0</v>
      </c>
      <c r="M25" s="45">
        <f t="shared" si="5"/>
        <v>60</v>
      </c>
      <c r="N25" s="45">
        <f t="shared" si="5"/>
        <v>16800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16800</v>
      </c>
      <c r="V25" s="45">
        <f t="shared" si="5"/>
        <v>0</v>
      </c>
      <c r="W25" s="66">
        <f>SUM(W3:W24)</f>
        <v>53760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25"/>
  <sheetViews>
    <sheetView workbookViewId="0">
      <selection activeCell="F10" sqref="F10"/>
    </sheetView>
  </sheetViews>
  <sheetFormatPr defaultColWidth="8.7109375" defaultRowHeight="15"/>
  <cols>
    <col min="1" max="1" width="11.85546875" style="55" customWidth="1"/>
    <col min="2" max="2" width="7.42578125" style="56" customWidth="1"/>
    <col min="3" max="3" width="8.710937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21000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63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21000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K6" sqref="K6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115670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>
        <v>46266</v>
      </c>
      <c r="B5" s="14">
        <v>100</v>
      </c>
      <c r="C5" s="15"/>
      <c r="D5" s="15"/>
      <c r="E5" s="15"/>
      <c r="F5" s="15"/>
      <c r="G5" s="16"/>
      <c r="H5" s="16"/>
      <c r="I5" s="16"/>
      <c r="J5" s="16"/>
      <c r="K5" s="16">
        <v>100</v>
      </c>
      <c r="L5" s="16"/>
      <c r="M5" s="17">
        <f>SUM(B5:L5)</f>
        <v>200</v>
      </c>
      <c r="N5" s="18">
        <f>L5*L3+K5*K3+J5*J3+I5*I3+H5*H3+G5*G3+F5*F3+E5*E3+D5*D3+C5*C3+B5*B3</f>
        <v>56000</v>
      </c>
      <c r="O5" s="19"/>
      <c r="P5" s="16"/>
      <c r="Q5" s="16"/>
      <c r="R5" s="16"/>
      <c r="S5" s="16"/>
      <c r="T5" s="20">
        <f>P5+Q5+R5+S5</f>
        <v>0</v>
      </c>
      <c r="U5" s="17">
        <f>N5</f>
        <v>56000</v>
      </c>
      <c r="V5" s="21">
        <f>T5</f>
        <v>0</v>
      </c>
      <c r="W5" s="22">
        <f>U5-V5</f>
        <v>56000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6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100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100</v>
      </c>
      <c r="L25" s="45">
        <f t="shared" si="5"/>
        <v>0</v>
      </c>
      <c r="M25" s="45">
        <f t="shared" si="5"/>
        <v>200</v>
      </c>
      <c r="N25" s="45">
        <f t="shared" si="5"/>
        <v>56000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56000</v>
      </c>
      <c r="V25" s="45">
        <f t="shared" si="5"/>
        <v>0</v>
      </c>
      <c r="W25" s="66">
        <f>SUM(W3:W24)</f>
        <v>171670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A5" sqref="A5:K10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40560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78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40560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zoomScalePageLayoutView="84" workbookViewId="0">
      <selection activeCell="W3" sqref="W3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63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2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6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7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7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7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  <c r="AA19" s="53">
        <v>0</v>
      </c>
    </row>
    <row r="20" spans="1:27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7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7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7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7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7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K6" sqref="K6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113120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>
        <v>46266</v>
      </c>
      <c r="B5" s="14">
        <v>40</v>
      </c>
      <c r="C5" s="15"/>
      <c r="D5" s="15"/>
      <c r="E5" s="15"/>
      <c r="F5" s="15"/>
      <c r="G5" s="16"/>
      <c r="H5" s="16"/>
      <c r="I5" s="16"/>
      <c r="J5" s="16"/>
      <c r="K5" s="16">
        <v>20</v>
      </c>
      <c r="L5" s="16"/>
      <c r="M5" s="17">
        <f>SUM(B5:L5)</f>
        <v>60</v>
      </c>
      <c r="N5" s="18">
        <f>L5*L3+K5*K3+J5*J3+I5*I3+H5*H3+G5*G3+F5*F3+E5*E3+D5*D3+C5*C3+B5*B3</f>
        <v>16800</v>
      </c>
      <c r="O5" s="19"/>
      <c r="P5" s="16"/>
      <c r="Q5" s="16"/>
      <c r="R5" s="16"/>
      <c r="S5" s="16"/>
      <c r="T5" s="20">
        <f>P5+Q5+R5+S5</f>
        <v>0</v>
      </c>
      <c r="U5" s="17">
        <f>N5</f>
        <v>16800</v>
      </c>
      <c r="V5" s="21">
        <f>T5</f>
        <v>0</v>
      </c>
      <c r="W5" s="22">
        <f>U5-V5</f>
        <v>16800</v>
      </c>
    </row>
    <row r="6" spans="1:95" s="53" customFormat="1" ht="13.5" customHeight="1">
      <c r="A6" s="13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6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40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20</v>
      </c>
      <c r="L25" s="45">
        <f t="shared" si="5"/>
        <v>0</v>
      </c>
      <c r="M25" s="45">
        <f t="shared" si="5"/>
        <v>60</v>
      </c>
      <c r="N25" s="45">
        <f t="shared" si="5"/>
        <v>16800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16800</v>
      </c>
      <c r="V25" s="45">
        <f t="shared" si="5"/>
        <v>0</v>
      </c>
      <c r="W25" s="66">
        <f>SUM(W3:W24)</f>
        <v>129920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topLeftCell="G1" workbookViewId="0">
      <selection activeCell="W3" sqref="W3"/>
    </sheetView>
  </sheetViews>
  <sheetFormatPr defaultColWidth="8.7109375" defaultRowHeight="15"/>
  <cols>
    <col min="1" max="1" width="15.2851562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69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69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70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70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70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70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70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70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70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70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70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70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70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70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70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70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70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70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70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70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5"/>
  <sheetViews>
    <sheetView topLeftCell="A16" workbookViewId="0">
      <selection activeCell="H21" sqref="H21"/>
    </sheetView>
  </sheetViews>
  <sheetFormatPr defaultColWidth="8.7109375" defaultRowHeight="15"/>
  <cols>
    <col min="1" max="1" width="11.85546875" style="55" customWidth="1"/>
    <col min="2" max="2" width="8" style="56" customWidth="1"/>
    <col min="3" max="3" width="8.5703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2000</v>
      </c>
      <c r="G3" s="3">
        <v>7400</v>
      </c>
      <c r="H3" s="3">
        <v>5350</v>
      </c>
      <c r="I3" s="3">
        <v>2100</v>
      </c>
      <c r="J3" s="3">
        <v>390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29400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>P5+Q5+R5+S5</f>
        <v>0</v>
      </c>
      <c r="U5" s="76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13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34" si="0">P6+Q6+R6+S6</f>
        <v>0</v>
      </c>
      <c r="U6" s="77">
        <f t="shared" ref="U6:U3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5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77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77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77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77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77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77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77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77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77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77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77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77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77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77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77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77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77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74"/>
      <c r="B24" s="23"/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6">
        <f t="shared" si="4"/>
        <v>0</v>
      </c>
      <c r="N24" s="27">
        <f>L24*L3+K24*K3+J24*J3+I24*I3+H24*H3+G24*G3+F24*F3+E24*E3+D24*D3+C24*C3+B24*B3</f>
        <v>0</v>
      </c>
      <c r="O24" s="75"/>
      <c r="P24" s="25"/>
      <c r="Q24" s="25"/>
      <c r="R24" s="25"/>
      <c r="S24" s="25"/>
      <c r="T24" s="29">
        <f t="shared" si="0"/>
        <v>0</v>
      </c>
      <c r="U24" s="26">
        <f t="shared" si="1"/>
        <v>0</v>
      </c>
      <c r="V24" s="30">
        <f t="shared" si="2"/>
        <v>0</v>
      </c>
      <c r="W24" s="31">
        <f t="shared" si="3"/>
        <v>0</v>
      </c>
    </row>
    <row r="25" spans="1:23" s="53" customFormat="1" ht="13.5" customHeight="1">
      <c r="A25" s="74"/>
      <c r="B25" s="23"/>
      <c r="C25" s="24"/>
      <c r="D25" s="24"/>
      <c r="E25" s="24"/>
      <c r="F25" s="24"/>
      <c r="G25" s="25"/>
      <c r="H25" s="25"/>
      <c r="I25" s="25"/>
      <c r="J25" s="25"/>
      <c r="K25" s="25"/>
      <c r="L25" s="25"/>
      <c r="M25" s="26">
        <f t="shared" si="4"/>
        <v>0</v>
      </c>
      <c r="N25" s="27">
        <f>L25*L3+K25*K3+J25*J3+I25*I3+H25*H3+G25*G3+F25*F3+E25*E3+D25*D3+C25*C3+B25*B3</f>
        <v>0</v>
      </c>
      <c r="O25" s="75"/>
      <c r="P25" s="25"/>
      <c r="Q25" s="25"/>
      <c r="R25" s="25"/>
      <c r="S25" s="25"/>
      <c r="T25" s="29">
        <f t="shared" si="0"/>
        <v>0</v>
      </c>
      <c r="U25" s="26">
        <f t="shared" si="1"/>
        <v>0</v>
      </c>
      <c r="V25" s="30">
        <f t="shared" ref="V25:V34" si="5">T25</f>
        <v>0</v>
      </c>
      <c r="W25" s="31">
        <f t="shared" ref="W25:W34" si="6">U25-V25</f>
        <v>0</v>
      </c>
    </row>
    <row r="26" spans="1:23" s="53" customFormat="1" ht="13.5" customHeight="1">
      <c r="A26" s="74"/>
      <c r="B26" s="23"/>
      <c r="C26" s="24"/>
      <c r="D26" s="24"/>
      <c r="E26" s="24"/>
      <c r="F26" s="24"/>
      <c r="G26" s="25"/>
      <c r="H26" s="25"/>
      <c r="I26" s="25"/>
      <c r="J26" s="25"/>
      <c r="K26" s="25"/>
      <c r="L26" s="25"/>
      <c r="M26" s="26">
        <f t="shared" ref="M26:M34" si="7">SUM(B26:L26)</f>
        <v>0</v>
      </c>
      <c r="N26" s="27">
        <f>L26*L3+K26*K3+J26*J3+I26*I3+H26*H3+G26*G3+F26*F3+E26*E3+D26*D3+C26*C3+B26*B3</f>
        <v>0</v>
      </c>
      <c r="O26" s="75"/>
      <c r="P26" s="25"/>
      <c r="Q26" s="25"/>
      <c r="R26" s="25"/>
      <c r="S26" s="25"/>
      <c r="T26" s="29">
        <f t="shared" si="0"/>
        <v>0</v>
      </c>
      <c r="U26" s="26">
        <f t="shared" si="1"/>
        <v>0</v>
      </c>
      <c r="V26" s="30">
        <f t="shared" si="5"/>
        <v>0</v>
      </c>
      <c r="W26" s="31">
        <f t="shared" si="6"/>
        <v>0</v>
      </c>
    </row>
    <row r="27" spans="1:23" s="53" customFormat="1" ht="13.5" customHeight="1">
      <c r="A27" s="74"/>
      <c r="B27" s="23"/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6">
        <f t="shared" si="7"/>
        <v>0</v>
      </c>
      <c r="N27" s="27">
        <f>L27*L3+K27*K3+J27*J3+I27*I3+H27*H3+G27*G3+F27*F3+E27*E3+D27*D3+C27*C3+B27*B3</f>
        <v>0</v>
      </c>
      <c r="O27" s="75"/>
      <c r="P27" s="25"/>
      <c r="Q27" s="25"/>
      <c r="R27" s="25"/>
      <c r="S27" s="25"/>
      <c r="T27" s="29">
        <f t="shared" si="0"/>
        <v>0</v>
      </c>
      <c r="U27" s="26">
        <f t="shared" si="1"/>
        <v>0</v>
      </c>
      <c r="V27" s="30">
        <f t="shared" si="5"/>
        <v>0</v>
      </c>
      <c r="W27" s="31">
        <f t="shared" si="6"/>
        <v>0</v>
      </c>
    </row>
    <row r="28" spans="1:23" s="53" customFormat="1" ht="13.5" customHeight="1">
      <c r="A28" s="74"/>
      <c r="B28" s="23"/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6">
        <f t="shared" si="7"/>
        <v>0</v>
      </c>
      <c r="N28" s="27">
        <f>L28*L3+K28*K3+J28*J3+I28*I3+H28*H3+G28*G3+F28*F3+E28*E3+D28*D3+C28*C3+B28*B3</f>
        <v>0</v>
      </c>
      <c r="O28" s="75"/>
      <c r="P28" s="25"/>
      <c r="Q28" s="25"/>
      <c r="R28" s="25"/>
      <c r="S28" s="25"/>
      <c r="T28" s="29">
        <f t="shared" si="0"/>
        <v>0</v>
      </c>
      <c r="U28" s="26">
        <f t="shared" si="1"/>
        <v>0</v>
      </c>
      <c r="V28" s="30">
        <f t="shared" si="5"/>
        <v>0</v>
      </c>
      <c r="W28" s="31">
        <f t="shared" si="6"/>
        <v>0</v>
      </c>
    </row>
    <row r="29" spans="1:23" s="53" customFormat="1" ht="13.5" customHeight="1">
      <c r="A29" s="74"/>
      <c r="B29" s="23"/>
      <c r="C29" s="24"/>
      <c r="D29" s="24"/>
      <c r="E29" s="24"/>
      <c r="F29" s="24"/>
      <c r="G29" s="25"/>
      <c r="H29" s="25"/>
      <c r="I29" s="25"/>
      <c r="J29" s="25"/>
      <c r="K29" s="25"/>
      <c r="L29" s="25"/>
      <c r="M29" s="26">
        <f t="shared" si="7"/>
        <v>0</v>
      </c>
      <c r="N29" s="27">
        <f>L29*L3+K29*K3+J29*J3+I29*I3+H29*H3+G29*G3+F29*F3+E29*E3+D29*D3+C29*C3+B29*B3</f>
        <v>0</v>
      </c>
      <c r="O29" s="75"/>
      <c r="P29" s="25"/>
      <c r="Q29" s="25"/>
      <c r="R29" s="25"/>
      <c r="S29" s="25"/>
      <c r="T29" s="29">
        <f t="shared" si="0"/>
        <v>0</v>
      </c>
      <c r="U29" s="26">
        <f t="shared" si="1"/>
        <v>0</v>
      </c>
      <c r="V29" s="30">
        <f t="shared" si="5"/>
        <v>0</v>
      </c>
      <c r="W29" s="31">
        <f t="shared" si="6"/>
        <v>0</v>
      </c>
    </row>
    <row r="30" spans="1:23" s="53" customFormat="1" ht="13.5" customHeight="1">
      <c r="A30" s="74"/>
      <c r="B30" s="23"/>
      <c r="C30" s="24"/>
      <c r="D30" s="24"/>
      <c r="E30" s="24"/>
      <c r="F30" s="24"/>
      <c r="G30" s="25"/>
      <c r="H30" s="25"/>
      <c r="I30" s="25"/>
      <c r="J30" s="25"/>
      <c r="K30" s="25"/>
      <c r="L30" s="25"/>
      <c r="M30" s="26">
        <f t="shared" si="7"/>
        <v>0</v>
      </c>
      <c r="N30" s="27">
        <f>L30*L3+K30*K3+J30*J3+I30*I3+H30*H3+G30*G3+F30*F3+E30*E3+D30*D3+C30*C3+B30*B3</f>
        <v>0</v>
      </c>
      <c r="O30" s="75"/>
      <c r="P30" s="25"/>
      <c r="Q30" s="25"/>
      <c r="R30" s="25"/>
      <c r="S30" s="25"/>
      <c r="T30" s="29">
        <f t="shared" si="0"/>
        <v>0</v>
      </c>
      <c r="U30" s="26">
        <f t="shared" si="1"/>
        <v>0</v>
      </c>
      <c r="V30" s="30">
        <f t="shared" si="5"/>
        <v>0</v>
      </c>
      <c r="W30" s="31">
        <f t="shared" si="6"/>
        <v>0</v>
      </c>
    </row>
    <row r="31" spans="1:23" s="53" customFormat="1" ht="13.5" customHeight="1">
      <c r="A31" s="74"/>
      <c r="B31" s="23"/>
      <c r="C31" s="24"/>
      <c r="D31" s="24"/>
      <c r="E31" s="24"/>
      <c r="F31" s="24"/>
      <c r="G31" s="25"/>
      <c r="H31" s="25"/>
      <c r="I31" s="25"/>
      <c r="J31" s="25"/>
      <c r="K31" s="25"/>
      <c r="L31" s="25"/>
      <c r="M31" s="26">
        <f t="shared" si="7"/>
        <v>0</v>
      </c>
      <c r="N31" s="27">
        <f>L31*L3+K31*K3+J31*J3+I31*I3+H31*H3+G31*G3+F31*F3+E31*E3+D31*D3+C31*C3+B31*B3</f>
        <v>0</v>
      </c>
      <c r="O31" s="75"/>
      <c r="P31" s="25"/>
      <c r="Q31" s="25"/>
      <c r="R31" s="25"/>
      <c r="S31" s="25"/>
      <c r="T31" s="29">
        <f t="shared" si="0"/>
        <v>0</v>
      </c>
      <c r="U31" s="26">
        <f t="shared" si="1"/>
        <v>0</v>
      </c>
      <c r="V31" s="30">
        <f t="shared" si="5"/>
        <v>0</v>
      </c>
      <c r="W31" s="31">
        <f t="shared" si="6"/>
        <v>0</v>
      </c>
    </row>
    <row r="32" spans="1:23" s="53" customFormat="1" ht="13.5" customHeight="1">
      <c r="A32" s="74"/>
      <c r="B32" s="23"/>
      <c r="C32" s="24"/>
      <c r="D32" s="24"/>
      <c r="E32" s="24"/>
      <c r="F32" s="24"/>
      <c r="G32" s="25"/>
      <c r="H32" s="25"/>
      <c r="I32" s="25"/>
      <c r="J32" s="25"/>
      <c r="K32" s="25"/>
      <c r="L32" s="25"/>
      <c r="M32" s="26">
        <f t="shared" si="7"/>
        <v>0</v>
      </c>
      <c r="N32" s="27">
        <f>L32*L3+K32*K3+J32*J3+I32*I3+H32*H3+G32*G3+F32*F3+E32*E3+D32*D3+C32*C3+B32*B3</f>
        <v>0</v>
      </c>
      <c r="O32" s="75"/>
      <c r="P32" s="25"/>
      <c r="Q32" s="25"/>
      <c r="R32" s="25"/>
      <c r="S32" s="25"/>
      <c r="T32" s="29">
        <f t="shared" si="0"/>
        <v>0</v>
      </c>
      <c r="U32" s="26">
        <f t="shared" si="1"/>
        <v>0</v>
      </c>
      <c r="V32" s="30">
        <f t="shared" si="5"/>
        <v>0</v>
      </c>
      <c r="W32" s="31">
        <f t="shared" si="6"/>
        <v>0</v>
      </c>
    </row>
    <row r="33" spans="1:23" s="53" customFormat="1" ht="13.5" customHeight="1">
      <c r="A33" s="74"/>
      <c r="B33" s="23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6">
        <f t="shared" si="7"/>
        <v>0</v>
      </c>
      <c r="N33" s="27">
        <f>L33*L3+K33*K3+J33*J3+I33*I3+H33*H3+G33*G3+F33*F3+E33*E3+D33*D3+C33*C3+B33*B3</f>
        <v>0</v>
      </c>
      <c r="O33" s="75"/>
      <c r="P33" s="25"/>
      <c r="Q33" s="25"/>
      <c r="R33" s="25"/>
      <c r="S33" s="25"/>
      <c r="T33" s="29">
        <f t="shared" si="0"/>
        <v>0</v>
      </c>
      <c r="U33" s="26">
        <f t="shared" si="1"/>
        <v>0</v>
      </c>
      <c r="V33" s="30">
        <f t="shared" si="5"/>
        <v>0</v>
      </c>
      <c r="W33" s="31">
        <f t="shared" si="6"/>
        <v>0</v>
      </c>
    </row>
    <row r="34" spans="1:23" s="53" customFormat="1" ht="13.5" customHeight="1">
      <c r="A34" s="34"/>
      <c r="B34" s="35"/>
      <c r="C34" s="36"/>
      <c r="D34" s="36"/>
      <c r="E34" s="36"/>
      <c r="F34" s="36"/>
      <c r="G34" s="37"/>
      <c r="H34" s="37"/>
      <c r="I34" s="37"/>
      <c r="J34" s="37"/>
      <c r="K34" s="37"/>
      <c r="L34" s="37"/>
      <c r="M34" s="38">
        <f t="shared" si="7"/>
        <v>0</v>
      </c>
      <c r="N34" s="39">
        <f>L34*L3+K34*K3+J34*J3+I34*I3+H34*H3+G34*G3+F34*F3+E34*E3+D34*D3+C34*C3+B34*B3</f>
        <v>0</v>
      </c>
      <c r="O34" s="40"/>
      <c r="P34" s="37"/>
      <c r="Q34" s="37"/>
      <c r="R34" s="37"/>
      <c r="S34" s="37"/>
      <c r="T34" s="41">
        <f t="shared" si="0"/>
        <v>0</v>
      </c>
      <c r="U34" s="38">
        <f t="shared" si="1"/>
        <v>0</v>
      </c>
      <c r="V34" s="42">
        <f t="shared" si="5"/>
        <v>0</v>
      </c>
      <c r="W34" s="65">
        <f t="shared" si="6"/>
        <v>0</v>
      </c>
    </row>
    <row r="35" spans="1:23" s="54" customFormat="1" ht="19.7" customHeight="1">
      <c r="A35" s="44" t="s">
        <v>38</v>
      </c>
      <c r="B35" s="45">
        <f>SUM(B5:B34)</f>
        <v>0</v>
      </c>
      <c r="C35" s="45">
        <f t="shared" ref="C35:V35" si="8">SUM(C5:C34)</f>
        <v>0</v>
      </c>
      <c r="D35" s="45">
        <f t="shared" si="8"/>
        <v>0</v>
      </c>
      <c r="E35" s="45">
        <f t="shared" si="8"/>
        <v>0</v>
      </c>
      <c r="F35" s="45">
        <f t="shared" si="8"/>
        <v>0</v>
      </c>
      <c r="G35" s="45">
        <f t="shared" si="8"/>
        <v>0</v>
      </c>
      <c r="H35" s="45">
        <f t="shared" si="8"/>
        <v>0</v>
      </c>
      <c r="I35" s="45">
        <f t="shared" si="8"/>
        <v>0</v>
      </c>
      <c r="J35" s="45">
        <f t="shared" si="8"/>
        <v>0</v>
      </c>
      <c r="K35" s="45">
        <f t="shared" si="8"/>
        <v>0</v>
      </c>
      <c r="L35" s="45">
        <f t="shared" si="8"/>
        <v>0</v>
      </c>
      <c r="M35" s="45">
        <f t="shared" si="8"/>
        <v>0</v>
      </c>
      <c r="N35" s="45">
        <f t="shared" si="8"/>
        <v>0</v>
      </c>
      <c r="O35" s="46"/>
      <c r="P35" s="45">
        <f t="shared" si="8"/>
        <v>0</v>
      </c>
      <c r="Q35" s="45">
        <f t="shared" si="8"/>
        <v>0</v>
      </c>
      <c r="R35" s="45">
        <f t="shared" si="8"/>
        <v>0</v>
      </c>
      <c r="S35" s="45">
        <f t="shared" si="8"/>
        <v>0</v>
      </c>
      <c r="T35" s="45">
        <f t="shared" si="8"/>
        <v>0</v>
      </c>
      <c r="U35" s="45">
        <f t="shared" si="8"/>
        <v>0</v>
      </c>
      <c r="V35" s="45">
        <f t="shared" si="8"/>
        <v>0</v>
      </c>
      <c r="W35" s="66">
        <f>SUM(W3:W34)</f>
        <v>29400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35"/>
  <sheetViews>
    <sheetView workbookViewId="0">
      <selection activeCell="D10" sqref="D10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9" width="7.42578125" style="55" customWidth="1"/>
    <col min="10" max="10" width="11" style="55" customWidth="1"/>
    <col min="11" max="12" width="7.42578125" style="55" customWidth="1"/>
    <col min="13" max="14" width="9.28515625" style="55" customWidth="1"/>
    <col min="15" max="15" width="10.7109375" style="55" customWidth="1"/>
    <col min="16" max="16" width="7.140625" style="56" customWidth="1"/>
    <col min="17" max="17" width="9" style="56" customWidth="1"/>
    <col min="18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2000</v>
      </c>
      <c r="G3" s="3">
        <v>7400</v>
      </c>
      <c r="H3" s="3">
        <v>5350</v>
      </c>
      <c r="I3" s="3">
        <v>2100</v>
      </c>
      <c r="J3" s="3">
        <v>390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12800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3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5" si="4">SUM(B7:L7)</f>
        <v>0</v>
      </c>
      <c r="N7" s="27">
        <f>L7*L3+K7*K3+J7*J3+I7*I3+H7*H3+G7*G3+F7*F3+E7*E3+D7*D3+C7*C3+B7*B3</f>
        <v>0</v>
      </c>
      <c r="O7" s="6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2"/>
      <c r="B24" s="23"/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6">
        <f t="shared" si="4"/>
        <v>0</v>
      </c>
      <c r="N24" s="27">
        <f>L24*L3+K24*K3+J24*J3+I24*I3+H24*H3+G24*G3+F24*F3+E24*E3+D24*D3+C24*C3+B24*B3</f>
        <v>0</v>
      </c>
      <c r="O24" s="75"/>
      <c r="P24" s="25"/>
      <c r="Q24" s="25"/>
      <c r="R24" s="25"/>
      <c r="S24" s="25"/>
      <c r="T24" s="29">
        <f t="shared" si="0"/>
        <v>0</v>
      </c>
      <c r="U24" s="26">
        <f t="shared" si="1"/>
        <v>0</v>
      </c>
      <c r="V24" s="30">
        <f t="shared" si="2"/>
        <v>0</v>
      </c>
      <c r="W24" s="31">
        <f t="shared" si="3"/>
        <v>0</v>
      </c>
    </row>
    <row r="25" spans="1:23" s="53" customFormat="1" ht="13.5" customHeight="1">
      <c r="A25" s="74"/>
      <c r="B25" s="23"/>
      <c r="C25" s="24"/>
      <c r="D25" s="24"/>
      <c r="E25" s="24"/>
      <c r="F25" s="24"/>
      <c r="G25" s="25"/>
      <c r="H25" s="25"/>
      <c r="I25" s="25"/>
      <c r="J25" s="25"/>
      <c r="K25" s="25"/>
      <c r="L25" s="25"/>
      <c r="M25" s="26">
        <f t="shared" si="4"/>
        <v>0</v>
      </c>
      <c r="N25" s="27">
        <f>L25*L3+K25*K3+J25*J3+I25*I3+H25*H3+G25*G3+F25*F3+E25*E3+D25*D3+C25*C3+B25*B3</f>
        <v>0</v>
      </c>
      <c r="O25" s="75"/>
      <c r="P25" s="25"/>
      <c r="Q25" s="25"/>
      <c r="R25" s="25"/>
      <c r="S25" s="25"/>
      <c r="T25" s="29">
        <f t="shared" ref="T25:T34" si="5">P25+Q25+R25+S25</f>
        <v>0</v>
      </c>
      <c r="U25" s="26">
        <f t="shared" si="1"/>
        <v>0</v>
      </c>
      <c r="V25" s="30">
        <f t="shared" ref="V25:V34" si="6">T25</f>
        <v>0</v>
      </c>
      <c r="W25" s="31">
        <f t="shared" ref="W25:W34" si="7">U25-V25</f>
        <v>0</v>
      </c>
    </row>
    <row r="26" spans="1:23" s="53" customFormat="1" ht="13.5" customHeight="1">
      <c r="A26" s="74"/>
      <c r="B26" s="23"/>
      <c r="C26" s="24"/>
      <c r="D26" s="24"/>
      <c r="E26" s="24"/>
      <c r="F26" s="24"/>
      <c r="G26" s="25"/>
      <c r="H26" s="25"/>
      <c r="I26" s="25"/>
      <c r="J26" s="25"/>
      <c r="K26" s="25"/>
      <c r="L26" s="25"/>
      <c r="M26" s="26">
        <f t="shared" ref="M26:M34" si="8">SUM(B26:L26)</f>
        <v>0</v>
      </c>
      <c r="N26" s="27">
        <f>L26*L3+K26*K3+J26*J3+I26*I3+H26*H3+G26*G3+F26*F3+E26*E3+D26*D3+C26*C3+B26*B3</f>
        <v>0</v>
      </c>
      <c r="O26" s="75"/>
      <c r="P26" s="25"/>
      <c r="Q26" s="25"/>
      <c r="R26" s="25"/>
      <c r="S26" s="25"/>
      <c r="T26" s="29">
        <f t="shared" si="5"/>
        <v>0</v>
      </c>
      <c r="U26" s="26">
        <f t="shared" si="1"/>
        <v>0</v>
      </c>
      <c r="V26" s="30">
        <f t="shared" si="6"/>
        <v>0</v>
      </c>
      <c r="W26" s="31">
        <f t="shared" si="7"/>
        <v>0</v>
      </c>
    </row>
    <row r="27" spans="1:23" s="53" customFormat="1" ht="13.5" customHeight="1">
      <c r="A27" s="74"/>
      <c r="B27" s="23"/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6">
        <f t="shared" si="8"/>
        <v>0</v>
      </c>
      <c r="N27" s="27">
        <f>L27*L3+K27*K3+J27*J3+I27*I3+H27*H3+G27*G3+F27*F3+E27*E3+D27*D3+C27*C3+B27*B3</f>
        <v>0</v>
      </c>
      <c r="O27" s="75"/>
      <c r="P27" s="25"/>
      <c r="Q27" s="25"/>
      <c r="R27" s="25"/>
      <c r="S27" s="25"/>
      <c r="T27" s="29">
        <f t="shared" si="5"/>
        <v>0</v>
      </c>
      <c r="U27" s="26">
        <f t="shared" si="1"/>
        <v>0</v>
      </c>
      <c r="V27" s="30">
        <f t="shared" si="6"/>
        <v>0</v>
      </c>
      <c r="W27" s="31">
        <f t="shared" si="7"/>
        <v>0</v>
      </c>
    </row>
    <row r="28" spans="1:23" s="53" customFormat="1" ht="13.5" customHeight="1">
      <c r="A28" s="74"/>
      <c r="B28" s="23"/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6">
        <f t="shared" si="8"/>
        <v>0</v>
      </c>
      <c r="N28" s="27">
        <f>L28*L3+K28*K3+J28*J3+I28*I3+H28*H3+G28*G3+F28*F3+E28*E3+D28*D3+C28*C3+B28*B3</f>
        <v>0</v>
      </c>
      <c r="O28" s="75"/>
      <c r="P28" s="25"/>
      <c r="Q28" s="25"/>
      <c r="R28" s="25"/>
      <c r="S28" s="25"/>
      <c r="T28" s="29">
        <f t="shared" si="5"/>
        <v>0</v>
      </c>
      <c r="U28" s="26">
        <f t="shared" si="1"/>
        <v>0</v>
      </c>
      <c r="V28" s="30">
        <f t="shared" si="6"/>
        <v>0</v>
      </c>
      <c r="W28" s="31">
        <f t="shared" si="7"/>
        <v>0</v>
      </c>
    </row>
    <row r="29" spans="1:23" s="53" customFormat="1" ht="13.5" customHeight="1">
      <c r="A29" s="74"/>
      <c r="B29" s="23"/>
      <c r="C29" s="24"/>
      <c r="D29" s="24"/>
      <c r="E29" s="24"/>
      <c r="F29" s="24"/>
      <c r="G29" s="25"/>
      <c r="H29" s="25"/>
      <c r="I29" s="25"/>
      <c r="J29" s="25"/>
      <c r="K29" s="25"/>
      <c r="L29" s="25"/>
      <c r="M29" s="26">
        <f t="shared" si="8"/>
        <v>0</v>
      </c>
      <c r="N29" s="27">
        <f>L29*L3+K29*K3+J29*J3+I29*I3+H29*H3+G29*G3+F29*F3+E29*E3+D29*D3+C29*C3+B29*B3</f>
        <v>0</v>
      </c>
      <c r="O29" s="75"/>
      <c r="P29" s="25"/>
      <c r="Q29" s="25"/>
      <c r="R29" s="25"/>
      <c r="S29" s="25"/>
      <c r="T29" s="29">
        <f t="shared" si="5"/>
        <v>0</v>
      </c>
      <c r="U29" s="26">
        <f t="shared" si="1"/>
        <v>0</v>
      </c>
      <c r="V29" s="30">
        <f t="shared" si="6"/>
        <v>0</v>
      </c>
      <c r="W29" s="31">
        <f t="shared" si="7"/>
        <v>0</v>
      </c>
    </row>
    <row r="30" spans="1:23" s="53" customFormat="1" ht="13.5" customHeight="1">
      <c r="A30" s="74"/>
      <c r="B30" s="23"/>
      <c r="C30" s="24"/>
      <c r="D30" s="24"/>
      <c r="E30" s="24"/>
      <c r="F30" s="24"/>
      <c r="G30" s="25"/>
      <c r="H30" s="25"/>
      <c r="I30" s="25"/>
      <c r="J30" s="25"/>
      <c r="K30" s="25"/>
      <c r="L30" s="25"/>
      <c r="M30" s="26">
        <f t="shared" si="8"/>
        <v>0</v>
      </c>
      <c r="N30" s="27">
        <f>L30*L3+K30*K3+J30*J3+I30*I3+H30*H3+G30*G3+F30*F3+E30*E3+D30*D3+C30*C3+B30*B3</f>
        <v>0</v>
      </c>
      <c r="O30" s="75"/>
      <c r="P30" s="25"/>
      <c r="Q30" s="25"/>
      <c r="R30" s="25"/>
      <c r="S30" s="25"/>
      <c r="T30" s="29">
        <f t="shared" si="5"/>
        <v>0</v>
      </c>
      <c r="U30" s="26">
        <f t="shared" si="1"/>
        <v>0</v>
      </c>
      <c r="V30" s="30">
        <f t="shared" si="6"/>
        <v>0</v>
      </c>
      <c r="W30" s="31">
        <f t="shared" si="7"/>
        <v>0</v>
      </c>
    </row>
    <row r="31" spans="1:23" s="53" customFormat="1" ht="13.5" customHeight="1">
      <c r="A31" s="74"/>
      <c r="B31" s="23"/>
      <c r="C31" s="24"/>
      <c r="D31" s="24"/>
      <c r="E31" s="24"/>
      <c r="F31" s="24"/>
      <c r="G31" s="25"/>
      <c r="H31" s="25"/>
      <c r="I31" s="25"/>
      <c r="J31" s="25"/>
      <c r="K31" s="25"/>
      <c r="L31" s="25"/>
      <c r="M31" s="26">
        <f t="shared" si="8"/>
        <v>0</v>
      </c>
      <c r="N31" s="27">
        <f>L31*L3+K31*K3+J31*J3+I31*I3+H31*H3+G31*G3+F31*F3+E31*E3+D31*D3+C31*C3+B31*B3</f>
        <v>0</v>
      </c>
      <c r="O31" s="75"/>
      <c r="P31" s="25"/>
      <c r="Q31" s="25"/>
      <c r="R31" s="25"/>
      <c r="S31" s="25"/>
      <c r="T31" s="29">
        <f t="shared" si="5"/>
        <v>0</v>
      </c>
      <c r="U31" s="26">
        <f t="shared" si="1"/>
        <v>0</v>
      </c>
      <c r="V31" s="30">
        <f t="shared" si="6"/>
        <v>0</v>
      </c>
      <c r="W31" s="31">
        <f t="shared" si="7"/>
        <v>0</v>
      </c>
    </row>
    <row r="32" spans="1:23" s="53" customFormat="1" ht="13.5" customHeight="1">
      <c r="A32" s="74"/>
      <c r="B32" s="23"/>
      <c r="C32" s="24"/>
      <c r="D32" s="24"/>
      <c r="E32" s="24"/>
      <c r="F32" s="24"/>
      <c r="G32" s="25"/>
      <c r="H32" s="25"/>
      <c r="I32" s="25"/>
      <c r="J32" s="25"/>
      <c r="K32" s="25"/>
      <c r="L32" s="25"/>
      <c r="M32" s="26">
        <f t="shared" si="8"/>
        <v>0</v>
      </c>
      <c r="N32" s="27">
        <f>L32*L3+K32*K3+J32*J3+I32*I3+H32*H3+G32*G3+F32*F3+E32*E3+D32*D3+C32*C3+B32*B3</f>
        <v>0</v>
      </c>
      <c r="O32" s="75"/>
      <c r="P32" s="25"/>
      <c r="Q32" s="25"/>
      <c r="R32" s="25"/>
      <c r="S32" s="25"/>
      <c r="T32" s="29">
        <f t="shared" si="5"/>
        <v>0</v>
      </c>
      <c r="U32" s="26">
        <f t="shared" si="1"/>
        <v>0</v>
      </c>
      <c r="V32" s="30">
        <f t="shared" si="6"/>
        <v>0</v>
      </c>
      <c r="W32" s="31">
        <f t="shared" si="7"/>
        <v>0</v>
      </c>
    </row>
    <row r="33" spans="1:23" s="53" customFormat="1" ht="13.5" customHeight="1">
      <c r="A33" s="74"/>
      <c r="B33" s="23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6">
        <f t="shared" si="8"/>
        <v>0</v>
      </c>
      <c r="N33" s="27">
        <f>L33*L3+K33*K3+J33*J3+I33*I3+H33*H3+G33*G3+F33*F3+E33*E3+D33*D3+C33*C3+B33*B3</f>
        <v>0</v>
      </c>
      <c r="O33" s="75"/>
      <c r="P33" s="25"/>
      <c r="Q33" s="25"/>
      <c r="R33" s="25"/>
      <c r="S33" s="25"/>
      <c r="T33" s="29">
        <f t="shared" si="5"/>
        <v>0</v>
      </c>
      <c r="U33" s="26">
        <f t="shared" si="1"/>
        <v>0</v>
      </c>
      <c r="V33" s="30">
        <f t="shared" si="6"/>
        <v>0</v>
      </c>
      <c r="W33" s="31">
        <f t="shared" si="7"/>
        <v>0</v>
      </c>
    </row>
    <row r="34" spans="1:23" s="53" customFormat="1" ht="13.5" customHeight="1">
      <c r="A34" s="34"/>
      <c r="B34" s="35"/>
      <c r="C34" s="36"/>
      <c r="D34" s="36"/>
      <c r="E34" s="36"/>
      <c r="F34" s="36"/>
      <c r="G34" s="37"/>
      <c r="H34" s="37"/>
      <c r="I34" s="37"/>
      <c r="J34" s="37"/>
      <c r="K34" s="37"/>
      <c r="L34" s="37"/>
      <c r="M34" s="38">
        <f t="shared" si="8"/>
        <v>0</v>
      </c>
      <c r="N34" s="39">
        <f>L34*L3+K34*K3+J34*J3+I34*I3+H34*H3+G34*G3+F34*F3+E34*E3+D34*D3+C34*C3+B34*B3</f>
        <v>0</v>
      </c>
      <c r="O34" s="40"/>
      <c r="P34" s="37"/>
      <c r="Q34" s="37"/>
      <c r="R34" s="37"/>
      <c r="S34" s="37"/>
      <c r="T34" s="41">
        <f t="shared" si="5"/>
        <v>0</v>
      </c>
      <c r="U34" s="38">
        <f t="shared" si="1"/>
        <v>0</v>
      </c>
      <c r="V34" s="42">
        <f t="shared" si="6"/>
        <v>0</v>
      </c>
      <c r="W34" s="65">
        <f t="shared" si="7"/>
        <v>0</v>
      </c>
    </row>
    <row r="35" spans="1:23" s="54" customFormat="1" ht="19.7" customHeight="1">
      <c r="A35" s="44" t="s">
        <v>38</v>
      </c>
      <c r="B35" s="45">
        <f>SUM(B5:B34)</f>
        <v>0</v>
      </c>
      <c r="C35" s="45">
        <f t="shared" ref="C35:V35" si="9">SUM(C5:C34)</f>
        <v>0</v>
      </c>
      <c r="D35" s="45">
        <f t="shared" si="9"/>
        <v>0</v>
      </c>
      <c r="E35" s="45">
        <f t="shared" si="9"/>
        <v>0</v>
      </c>
      <c r="F35" s="45">
        <f t="shared" si="9"/>
        <v>0</v>
      </c>
      <c r="G35" s="45">
        <f t="shared" si="9"/>
        <v>0</v>
      </c>
      <c r="H35" s="45">
        <f t="shared" si="9"/>
        <v>0</v>
      </c>
      <c r="I35" s="45">
        <f t="shared" si="9"/>
        <v>0</v>
      </c>
      <c r="J35" s="45">
        <f t="shared" si="9"/>
        <v>0</v>
      </c>
      <c r="K35" s="45">
        <f t="shared" si="9"/>
        <v>0</v>
      </c>
      <c r="L35" s="45">
        <f t="shared" si="9"/>
        <v>0</v>
      </c>
      <c r="M35" s="45">
        <f t="shared" si="9"/>
        <v>0</v>
      </c>
      <c r="N35" s="45">
        <f t="shared" si="9"/>
        <v>0</v>
      </c>
      <c r="O35" s="46"/>
      <c r="P35" s="45">
        <f t="shared" si="9"/>
        <v>0</v>
      </c>
      <c r="Q35" s="45">
        <f t="shared" si="9"/>
        <v>0</v>
      </c>
      <c r="R35" s="45">
        <f t="shared" si="9"/>
        <v>0</v>
      </c>
      <c r="S35" s="45">
        <f t="shared" si="9"/>
        <v>0</v>
      </c>
      <c r="T35" s="45">
        <f t="shared" si="9"/>
        <v>0</v>
      </c>
      <c r="U35" s="45">
        <f t="shared" si="9"/>
        <v>0</v>
      </c>
      <c r="V35" s="45">
        <f t="shared" si="9"/>
        <v>0</v>
      </c>
      <c r="W35" s="66">
        <f>SUM(W3:W34)</f>
        <v>12800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35"/>
  <sheetViews>
    <sheetView workbookViewId="0">
      <selection activeCell="I16" sqref="I16"/>
    </sheetView>
  </sheetViews>
  <sheetFormatPr defaultColWidth="8.7109375" defaultRowHeight="15"/>
  <cols>
    <col min="1" max="1" width="11.85546875" style="55" customWidth="1"/>
    <col min="2" max="2" width="8" style="56" customWidth="1"/>
    <col min="3" max="3" width="9.285156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0" width="8" style="56" customWidth="1"/>
    <col min="21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2000</v>
      </c>
      <c r="G3" s="3">
        <v>7400</v>
      </c>
      <c r="H3" s="3">
        <v>5350</v>
      </c>
      <c r="I3" s="3">
        <v>2100</v>
      </c>
      <c r="J3" s="3">
        <v>390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22800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>
        <v>46266</v>
      </c>
      <c r="B5" s="14"/>
      <c r="C5" s="15"/>
      <c r="D5" s="15"/>
      <c r="E5" s="15"/>
      <c r="F5" s="15"/>
      <c r="G5" s="16"/>
      <c r="H5" s="16"/>
      <c r="I5" s="16"/>
      <c r="J5" s="16">
        <v>1</v>
      </c>
      <c r="K5" s="16"/>
      <c r="L5" s="16">
        <v>13</v>
      </c>
      <c r="M5" s="17">
        <f>SUM(B5:L5)</f>
        <v>14</v>
      </c>
      <c r="N5" s="18">
        <f>L5*L3+K5*K3+J5*J3+I5*I3+H5*H3+G5*G3+F5*F3+E5*E3+D5*D3+C5*C3+B5*B3</f>
        <v>5460</v>
      </c>
      <c r="O5" s="19"/>
      <c r="P5" s="16">
        <v>5460</v>
      </c>
      <c r="Q5" s="16"/>
      <c r="R5" s="16"/>
      <c r="S5" s="16"/>
      <c r="T5" s="20">
        <f>P5+Q5+R5+S5</f>
        <v>5460</v>
      </c>
      <c r="U5" s="17">
        <f>N5</f>
        <v>5460</v>
      </c>
      <c r="V5" s="21">
        <f>T5</f>
        <v>5460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3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5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74"/>
      <c r="B24" s="23"/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6">
        <f t="shared" si="4"/>
        <v>0</v>
      </c>
      <c r="N24" s="27">
        <f>L24*L3+K24*K3+J24*J3+I24*I3+H24*H3+G24*G3+F24*F3+E24*E3+D24*D3+C24*C3+B24*B3</f>
        <v>0</v>
      </c>
      <c r="O24" s="75"/>
      <c r="P24" s="25"/>
      <c r="Q24" s="25"/>
      <c r="R24" s="25"/>
      <c r="S24" s="25"/>
      <c r="T24" s="29">
        <f t="shared" si="0"/>
        <v>0</v>
      </c>
      <c r="U24" s="26">
        <f t="shared" si="1"/>
        <v>0</v>
      </c>
      <c r="V24" s="30">
        <f t="shared" si="2"/>
        <v>0</v>
      </c>
      <c r="W24" s="31">
        <f t="shared" si="3"/>
        <v>0</v>
      </c>
    </row>
    <row r="25" spans="1:23" s="53" customFormat="1" ht="13.5" customHeight="1">
      <c r="A25" s="74"/>
      <c r="B25" s="23"/>
      <c r="C25" s="24"/>
      <c r="D25" s="24"/>
      <c r="E25" s="24"/>
      <c r="F25" s="24"/>
      <c r="G25" s="25"/>
      <c r="H25" s="25"/>
      <c r="I25" s="25"/>
      <c r="J25" s="25"/>
      <c r="K25" s="25"/>
      <c r="L25" s="25"/>
      <c r="M25" s="26">
        <f t="shared" si="4"/>
        <v>0</v>
      </c>
      <c r="N25" s="27">
        <f>L25*L3+K25*K3+J25*J3+I25*I3+H25*H3+G25*G3+F25*F3+E25*E3+D25*D3+C25*C3+B25*B3</f>
        <v>0</v>
      </c>
      <c r="O25" s="75"/>
      <c r="P25" s="25"/>
      <c r="Q25" s="25"/>
      <c r="R25" s="25"/>
      <c r="S25" s="25"/>
      <c r="T25" s="29">
        <f t="shared" ref="T25:T34" si="5">P25+Q25+R25+S25</f>
        <v>0</v>
      </c>
      <c r="U25" s="26">
        <f t="shared" si="1"/>
        <v>0</v>
      </c>
      <c r="V25" s="30">
        <f t="shared" ref="V25:V34" si="6">T25</f>
        <v>0</v>
      </c>
      <c r="W25" s="31">
        <f t="shared" ref="W25:W34" si="7">U25-V25</f>
        <v>0</v>
      </c>
    </row>
    <row r="26" spans="1:23" s="53" customFormat="1" ht="13.5" customHeight="1">
      <c r="A26" s="74"/>
      <c r="B26" s="23"/>
      <c r="C26" s="24"/>
      <c r="D26" s="24"/>
      <c r="E26" s="24"/>
      <c r="F26" s="24"/>
      <c r="G26" s="25"/>
      <c r="H26" s="25"/>
      <c r="I26" s="25"/>
      <c r="J26" s="25"/>
      <c r="K26" s="25"/>
      <c r="L26" s="25"/>
      <c r="M26" s="26">
        <f t="shared" ref="M26:M34" si="8">SUM(B26:L26)</f>
        <v>0</v>
      </c>
      <c r="N26" s="27">
        <f>L26*L3+K26*K3+J26*J3+I26*I3+H26*H3+G26*G3+F26*F3+E26*E3+D26*D3+C26*C3+B26*B3</f>
        <v>0</v>
      </c>
      <c r="O26" s="75"/>
      <c r="P26" s="25"/>
      <c r="Q26" s="25"/>
      <c r="R26" s="25"/>
      <c r="S26" s="25"/>
      <c r="T26" s="29">
        <f t="shared" si="5"/>
        <v>0</v>
      </c>
      <c r="U26" s="26">
        <f t="shared" si="1"/>
        <v>0</v>
      </c>
      <c r="V26" s="30">
        <f t="shared" si="6"/>
        <v>0</v>
      </c>
      <c r="W26" s="31">
        <f t="shared" si="7"/>
        <v>0</v>
      </c>
    </row>
    <row r="27" spans="1:23" s="53" customFormat="1" ht="13.5" customHeight="1">
      <c r="A27" s="74"/>
      <c r="B27" s="23"/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6">
        <f t="shared" si="8"/>
        <v>0</v>
      </c>
      <c r="N27" s="27">
        <f>L27*L3+K27*K3+J27*J3+I27*I3+H27*H3+G27*G3+F27*F3+E27*E3+D27*D3+C27*C3+B27*B3</f>
        <v>0</v>
      </c>
      <c r="O27" s="75"/>
      <c r="P27" s="25"/>
      <c r="Q27" s="25"/>
      <c r="R27" s="25"/>
      <c r="S27" s="25"/>
      <c r="T27" s="29">
        <f t="shared" si="5"/>
        <v>0</v>
      </c>
      <c r="U27" s="26">
        <f t="shared" si="1"/>
        <v>0</v>
      </c>
      <c r="V27" s="30">
        <f t="shared" si="6"/>
        <v>0</v>
      </c>
      <c r="W27" s="31">
        <f t="shared" si="7"/>
        <v>0</v>
      </c>
    </row>
    <row r="28" spans="1:23" s="53" customFormat="1" ht="13.5" customHeight="1">
      <c r="A28" s="74"/>
      <c r="B28" s="23"/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6">
        <f t="shared" si="8"/>
        <v>0</v>
      </c>
      <c r="N28" s="27">
        <f>L28*L3+K28*K3+J28*J3+I28*I3+H28*H3+G28*G3+F28*F3+E28*E3+D28*D3+C28*C3+B28*B3</f>
        <v>0</v>
      </c>
      <c r="O28" s="75"/>
      <c r="P28" s="25"/>
      <c r="Q28" s="25"/>
      <c r="R28" s="25"/>
      <c r="S28" s="25"/>
      <c r="T28" s="29">
        <f t="shared" si="5"/>
        <v>0</v>
      </c>
      <c r="U28" s="26">
        <f t="shared" si="1"/>
        <v>0</v>
      </c>
      <c r="V28" s="30">
        <f t="shared" si="6"/>
        <v>0</v>
      </c>
      <c r="W28" s="31">
        <f t="shared" si="7"/>
        <v>0</v>
      </c>
    </row>
    <row r="29" spans="1:23" s="53" customFormat="1" ht="13.5" customHeight="1">
      <c r="A29" s="74"/>
      <c r="B29" s="23"/>
      <c r="C29" s="24"/>
      <c r="D29" s="24"/>
      <c r="E29" s="24"/>
      <c r="F29" s="24"/>
      <c r="G29" s="25"/>
      <c r="H29" s="25"/>
      <c r="I29" s="25"/>
      <c r="J29" s="25"/>
      <c r="K29" s="25"/>
      <c r="L29" s="25"/>
      <c r="M29" s="26">
        <f t="shared" si="8"/>
        <v>0</v>
      </c>
      <c r="N29" s="27">
        <f>L29*L3+K29*K3+J29*J3+I29*I3+H29*H3+G29*G3+F29*F3+E29*E3+D29*D3+C29*C3+B29*B3</f>
        <v>0</v>
      </c>
      <c r="O29" s="75"/>
      <c r="P29" s="25"/>
      <c r="Q29" s="25"/>
      <c r="R29" s="25"/>
      <c r="S29" s="25"/>
      <c r="T29" s="29">
        <f t="shared" si="5"/>
        <v>0</v>
      </c>
      <c r="U29" s="26">
        <f t="shared" si="1"/>
        <v>0</v>
      </c>
      <c r="V29" s="30">
        <f t="shared" si="6"/>
        <v>0</v>
      </c>
      <c r="W29" s="31">
        <f t="shared" si="7"/>
        <v>0</v>
      </c>
    </row>
    <row r="30" spans="1:23" s="53" customFormat="1" ht="13.5" customHeight="1">
      <c r="A30" s="74"/>
      <c r="B30" s="23"/>
      <c r="C30" s="24"/>
      <c r="D30" s="24"/>
      <c r="E30" s="24"/>
      <c r="F30" s="24"/>
      <c r="G30" s="25"/>
      <c r="H30" s="25"/>
      <c r="I30" s="25"/>
      <c r="J30" s="25"/>
      <c r="K30" s="25"/>
      <c r="L30" s="25"/>
      <c r="M30" s="26">
        <f t="shared" si="8"/>
        <v>0</v>
      </c>
      <c r="N30" s="27">
        <f>L30*L3+K30*K3+J30*J3+I30*I3+H30*H3+G30*G3+F30*F3+E30*E3+D30*D3+C30*C3+B30*B3</f>
        <v>0</v>
      </c>
      <c r="O30" s="75"/>
      <c r="P30" s="25"/>
      <c r="Q30" s="25"/>
      <c r="R30" s="25"/>
      <c r="S30" s="25"/>
      <c r="T30" s="29">
        <f t="shared" si="5"/>
        <v>0</v>
      </c>
      <c r="U30" s="26">
        <f t="shared" si="1"/>
        <v>0</v>
      </c>
      <c r="V30" s="30">
        <f t="shared" si="6"/>
        <v>0</v>
      </c>
      <c r="W30" s="31">
        <f t="shared" si="7"/>
        <v>0</v>
      </c>
    </row>
    <row r="31" spans="1:23" s="53" customFormat="1" ht="13.5" customHeight="1">
      <c r="A31" s="74"/>
      <c r="B31" s="23"/>
      <c r="C31" s="24"/>
      <c r="D31" s="24"/>
      <c r="E31" s="24"/>
      <c r="F31" s="24"/>
      <c r="G31" s="25"/>
      <c r="H31" s="25"/>
      <c r="I31" s="25"/>
      <c r="J31" s="25"/>
      <c r="K31" s="25"/>
      <c r="L31" s="25"/>
      <c r="M31" s="26">
        <f t="shared" si="8"/>
        <v>0</v>
      </c>
      <c r="N31" s="27">
        <f>L31*L3+K31*K3+J31*J3+I31*I3+H31*H3+G31*G3+F31*F3+E31*E3+D31*D3+C31*C3+B31*B3</f>
        <v>0</v>
      </c>
      <c r="O31" s="75"/>
      <c r="P31" s="25"/>
      <c r="Q31" s="25"/>
      <c r="R31" s="25"/>
      <c r="S31" s="25"/>
      <c r="T31" s="29">
        <f t="shared" si="5"/>
        <v>0</v>
      </c>
      <c r="U31" s="26">
        <f t="shared" si="1"/>
        <v>0</v>
      </c>
      <c r="V31" s="30">
        <f t="shared" si="6"/>
        <v>0</v>
      </c>
      <c r="W31" s="31">
        <f t="shared" si="7"/>
        <v>0</v>
      </c>
    </row>
    <row r="32" spans="1:23" s="53" customFormat="1" ht="13.5" customHeight="1">
      <c r="A32" s="74"/>
      <c r="B32" s="23"/>
      <c r="C32" s="24"/>
      <c r="D32" s="24"/>
      <c r="E32" s="24"/>
      <c r="F32" s="24"/>
      <c r="G32" s="25"/>
      <c r="H32" s="25"/>
      <c r="I32" s="25"/>
      <c r="J32" s="25"/>
      <c r="K32" s="25"/>
      <c r="L32" s="25"/>
      <c r="M32" s="26">
        <f t="shared" si="8"/>
        <v>0</v>
      </c>
      <c r="N32" s="27">
        <f>L32*L3+K32*K3+J32*J3+I32*I3+H32*H3+G32*G3+F32*F3+E32*E3+D32*D3+C32*C3+B32*B3</f>
        <v>0</v>
      </c>
      <c r="O32" s="75"/>
      <c r="P32" s="25"/>
      <c r="Q32" s="25"/>
      <c r="R32" s="25"/>
      <c r="S32" s="25"/>
      <c r="T32" s="29">
        <f t="shared" si="5"/>
        <v>0</v>
      </c>
      <c r="U32" s="26">
        <f t="shared" si="1"/>
        <v>0</v>
      </c>
      <c r="V32" s="30">
        <f t="shared" si="6"/>
        <v>0</v>
      </c>
      <c r="W32" s="31">
        <f t="shared" si="7"/>
        <v>0</v>
      </c>
    </row>
    <row r="33" spans="1:23" s="53" customFormat="1" ht="13.5" customHeight="1">
      <c r="A33" s="74"/>
      <c r="B33" s="23"/>
      <c r="C33" s="24"/>
      <c r="D33" s="24"/>
      <c r="E33" s="24"/>
      <c r="F33" s="24"/>
      <c r="G33" s="25"/>
      <c r="H33" s="25"/>
      <c r="I33" s="25"/>
      <c r="J33" s="25"/>
      <c r="K33" s="25"/>
      <c r="L33" s="25"/>
      <c r="M33" s="26">
        <f t="shared" si="8"/>
        <v>0</v>
      </c>
      <c r="N33" s="27">
        <f>L33*L3+K33*K3+J33*J3+I33*I3+H33*H3+G33*G3+F33*F3+E33*E3+D33*D3+C33*C3+B33*B3</f>
        <v>0</v>
      </c>
      <c r="O33" s="75"/>
      <c r="P33" s="25"/>
      <c r="Q33" s="25"/>
      <c r="R33" s="25"/>
      <c r="S33" s="25"/>
      <c r="T33" s="29">
        <f t="shared" si="5"/>
        <v>0</v>
      </c>
      <c r="U33" s="26">
        <f t="shared" si="1"/>
        <v>0</v>
      </c>
      <c r="V33" s="30">
        <f t="shared" si="6"/>
        <v>0</v>
      </c>
      <c r="W33" s="31">
        <f t="shared" si="7"/>
        <v>0</v>
      </c>
    </row>
    <row r="34" spans="1:23" s="53" customFormat="1" ht="13.5" customHeight="1">
      <c r="A34" s="34"/>
      <c r="B34" s="35"/>
      <c r="C34" s="36"/>
      <c r="D34" s="36"/>
      <c r="E34" s="36"/>
      <c r="F34" s="36"/>
      <c r="G34" s="37"/>
      <c r="H34" s="37"/>
      <c r="I34" s="37"/>
      <c r="J34" s="37"/>
      <c r="K34" s="37"/>
      <c r="L34" s="37"/>
      <c r="M34" s="38">
        <f t="shared" si="8"/>
        <v>0</v>
      </c>
      <c r="N34" s="39">
        <f>L34*L3+K34*K3+J34*J3+I34*I3+H34*H3+G34*G3+F34*F3+E34*E3+D34*D3+C34*C3+B34*B3</f>
        <v>0</v>
      </c>
      <c r="O34" s="40"/>
      <c r="P34" s="37"/>
      <c r="Q34" s="37"/>
      <c r="R34" s="37"/>
      <c r="S34" s="37"/>
      <c r="T34" s="41">
        <f t="shared" si="5"/>
        <v>0</v>
      </c>
      <c r="U34" s="38">
        <f t="shared" si="1"/>
        <v>0</v>
      </c>
      <c r="V34" s="42">
        <f t="shared" si="6"/>
        <v>0</v>
      </c>
      <c r="W34" s="65">
        <f t="shared" si="7"/>
        <v>0</v>
      </c>
    </row>
    <row r="35" spans="1:23" s="54" customFormat="1" ht="19.7" customHeight="1">
      <c r="A35" s="44" t="s">
        <v>38</v>
      </c>
      <c r="B35" s="45">
        <f>SUM(B5:B34)</f>
        <v>0</v>
      </c>
      <c r="C35" s="45">
        <f t="shared" ref="C35:V35" si="9">SUM(C5:C34)</f>
        <v>0</v>
      </c>
      <c r="D35" s="45">
        <f t="shared" si="9"/>
        <v>0</v>
      </c>
      <c r="E35" s="45">
        <f t="shared" si="9"/>
        <v>0</v>
      </c>
      <c r="F35" s="45">
        <f t="shared" si="9"/>
        <v>0</v>
      </c>
      <c r="G35" s="45">
        <f t="shared" si="9"/>
        <v>0</v>
      </c>
      <c r="H35" s="45">
        <f t="shared" si="9"/>
        <v>0</v>
      </c>
      <c r="I35" s="45">
        <f t="shared" si="9"/>
        <v>0</v>
      </c>
      <c r="J35" s="45">
        <f t="shared" si="9"/>
        <v>1</v>
      </c>
      <c r="K35" s="45">
        <f t="shared" si="9"/>
        <v>0</v>
      </c>
      <c r="L35" s="45">
        <f t="shared" si="9"/>
        <v>13</v>
      </c>
      <c r="M35" s="45">
        <f t="shared" si="9"/>
        <v>14</v>
      </c>
      <c r="N35" s="45">
        <f t="shared" si="9"/>
        <v>5460</v>
      </c>
      <c r="O35" s="46"/>
      <c r="P35" s="45">
        <f t="shared" si="9"/>
        <v>5460</v>
      </c>
      <c r="Q35" s="45">
        <f t="shared" si="9"/>
        <v>0</v>
      </c>
      <c r="R35" s="45">
        <f t="shared" si="9"/>
        <v>0</v>
      </c>
      <c r="S35" s="45">
        <f t="shared" si="9"/>
        <v>0</v>
      </c>
      <c r="T35" s="45">
        <f t="shared" si="9"/>
        <v>5460</v>
      </c>
      <c r="U35" s="45">
        <f t="shared" si="9"/>
        <v>5460</v>
      </c>
      <c r="V35" s="45">
        <f t="shared" si="9"/>
        <v>5460</v>
      </c>
      <c r="W35" s="66">
        <f>SUM(W3:W34)</f>
        <v>22800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34"/>
  <sheetViews>
    <sheetView workbookViewId="0">
      <selection activeCell="J14" sqref="J14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5" width="7.42578125" style="55" customWidth="1"/>
    <col min="6" max="6" width="7.85546875" style="55" customWidth="1"/>
    <col min="7" max="7" width="6.85546875" style="55" customWidth="1"/>
    <col min="8" max="8" width="6.7109375" style="55" customWidth="1"/>
    <col min="9" max="9" width="8.42578125" style="55" customWidth="1"/>
    <col min="10" max="10" width="7.42578125" style="55" customWidth="1"/>
    <col min="11" max="11" width="9.7109375" style="55" customWidth="1"/>
    <col min="12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 s="50" customFormat="1" ht="16.7" customHeight="1">
      <c r="A1" s="1" t="s">
        <v>55</v>
      </c>
      <c r="B1" s="195" t="s">
        <v>1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198" t="s">
        <v>56</v>
      </c>
      <c r="P1" s="198"/>
      <c r="Q1" s="198"/>
      <c r="R1" s="198"/>
      <c r="S1" s="198"/>
      <c r="T1" s="198"/>
      <c r="U1" s="199" t="s">
        <v>57</v>
      </c>
      <c r="V1" s="198"/>
      <c r="W1" s="200"/>
    </row>
    <row r="2" spans="1:95" s="51" customFormat="1" ht="16.7" customHeight="1">
      <c r="A2" s="186" t="s">
        <v>58</v>
      </c>
      <c r="B2" s="2">
        <v>280</v>
      </c>
      <c r="C2" s="3">
        <v>350</v>
      </c>
      <c r="D2" s="3">
        <v>1000</v>
      </c>
      <c r="E2" s="3">
        <v>500</v>
      </c>
      <c r="F2" s="3">
        <v>2000</v>
      </c>
      <c r="G2" s="3">
        <v>7400</v>
      </c>
      <c r="H2" s="3">
        <v>5350</v>
      </c>
      <c r="I2" s="3">
        <v>2100</v>
      </c>
      <c r="J2" s="3">
        <v>390</v>
      </c>
      <c r="K2" s="3">
        <v>280</v>
      </c>
      <c r="L2" s="4">
        <v>390</v>
      </c>
      <c r="M2" s="188" t="s">
        <v>3</v>
      </c>
      <c r="N2" s="189" t="s">
        <v>4</v>
      </c>
      <c r="O2" s="190" t="s">
        <v>58</v>
      </c>
      <c r="P2" s="201" t="s">
        <v>56</v>
      </c>
      <c r="Q2" s="202"/>
      <c r="R2" s="202"/>
      <c r="S2" s="203"/>
      <c r="T2" s="192" t="s">
        <v>59</v>
      </c>
      <c r="U2" s="204" t="s">
        <v>60</v>
      </c>
      <c r="V2" s="205"/>
      <c r="W2" s="5">
        <v>41800</v>
      </c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</row>
    <row r="3" spans="1:95" s="52" customFormat="1" ht="30">
      <c r="A3" s="187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8" t="s">
        <v>17</v>
      </c>
      <c r="M3" s="188"/>
      <c r="N3" s="189"/>
      <c r="O3" s="191"/>
      <c r="P3" s="9" t="s">
        <v>62</v>
      </c>
      <c r="Q3" s="9" t="s">
        <v>63</v>
      </c>
      <c r="R3" s="9" t="s">
        <v>64</v>
      </c>
      <c r="S3" s="9" t="s">
        <v>13</v>
      </c>
      <c r="T3" s="193"/>
      <c r="U3" s="10" t="s">
        <v>4</v>
      </c>
      <c r="V3" s="11" t="s">
        <v>65</v>
      </c>
      <c r="W3" s="12" t="s">
        <v>6</v>
      </c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</row>
    <row r="4" spans="1:95" s="53" customFormat="1" ht="13.5" customHeight="1">
      <c r="A4" s="13">
        <v>46266</v>
      </c>
      <c r="B4" s="14"/>
      <c r="C4" s="15">
        <v>19</v>
      </c>
      <c r="D4" s="15"/>
      <c r="E4" s="15"/>
      <c r="F4" s="15"/>
      <c r="G4" s="16"/>
      <c r="H4" s="16"/>
      <c r="I4" s="16"/>
      <c r="J4" s="16">
        <v>1</v>
      </c>
      <c r="K4" s="16"/>
      <c r="L4" s="16">
        <v>1</v>
      </c>
      <c r="M4" s="17">
        <f>SUM(B4:L4)</f>
        <v>21</v>
      </c>
      <c r="N4" s="18">
        <f>L4*L2+K4*K2+J4*J2+I4*I2+H4*H2+G4*G2+F4*F2+E4*E2+D4*D2+C4*C2+B4*B2</f>
        <v>7430</v>
      </c>
      <c r="O4" s="19"/>
      <c r="P4" s="16">
        <v>7430</v>
      </c>
      <c r="Q4" s="16"/>
      <c r="R4" s="16"/>
      <c r="S4" s="16"/>
      <c r="T4" s="20">
        <f>P4+Q4+R4+S4</f>
        <v>7430</v>
      </c>
      <c r="U4" s="17">
        <f>N4</f>
        <v>7430</v>
      </c>
      <c r="V4" s="21">
        <f>T4</f>
        <v>7430</v>
      </c>
      <c r="W4" s="22">
        <f>U4-V4</f>
        <v>0</v>
      </c>
    </row>
    <row r="5" spans="1:95" s="53" customFormat="1" ht="13.5" customHeight="1">
      <c r="A5" s="32"/>
      <c r="B5" s="23"/>
      <c r="C5" s="24"/>
      <c r="D5" s="24"/>
      <c r="E5" s="24"/>
      <c r="F5" s="24"/>
      <c r="G5" s="25"/>
      <c r="H5" s="25"/>
      <c r="I5" s="25"/>
      <c r="J5" s="25"/>
      <c r="K5" s="25"/>
      <c r="L5" s="25"/>
      <c r="M5" s="26">
        <f>SUM(B5:L5)</f>
        <v>0</v>
      </c>
      <c r="N5" s="27">
        <f>L5*L2+K5*K2+J5*J2+I5*I2+H5*H2+G5*G2+F5*F2+E5*E2+D5*D2+C5*C2+B5*B2</f>
        <v>0</v>
      </c>
      <c r="O5" s="28"/>
      <c r="P5" s="25"/>
      <c r="Q5" s="25"/>
      <c r="R5" s="25"/>
      <c r="S5" s="25"/>
      <c r="T5" s="29">
        <f t="shared" ref="T5:T23" si="0">P5+Q5+R5+S5</f>
        <v>0</v>
      </c>
      <c r="U5" s="26">
        <f t="shared" ref="U5:U33" si="1">N5</f>
        <v>0</v>
      </c>
      <c r="V5" s="30">
        <f t="shared" ref="V5:V23" si="2">T5</f>
        <v>0</v>
      </c>
      <c r="W5" s="31">
        <f t="shared" ref="W5:W23" si="3"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 t="shared" ref="M6:M24" si="4">SUM(B6:L6)</f>
        <v>0</v>
      </c>
      <c r="N6" s="27">
        <f>L6*L2+K6*K2+J6*J2+I6*I2+H6*H2+G6*G2+F6*F2+E6*E2+D6*D2+C6*C2+B6*B2</f>
        <v>0</v>
      </c>
      <c r="O6" s="28"/>
      <c r="P6" s="25"/>
      <c r="Q6" s="25"/>
      <c r="R6" s="25"/>
      <c r="S6" s="25"/>
      <c r="T6" s="29">
        <f t="shared" si="0"/>
        <v>0</v>
      </c>
      <c r="U6" s="26">
        <f t="shared" si="1"/>
        <v>0</v>
      </c>
      <c r="V6" s="30">
        <f t="shared" si="2"/>
        <v>0</v>
      </c>
      <c r="W6" s="31">
        <f t="shared" si="3"/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si="4"/>
        <v>0</v>
      </c>
      <c r="N7" s="27">
        <f>L7*L2+K7*K2+J7*J2+I7*I2+H7*H2+G7*G2+F7*F2+E7*E2+D7*D2+C7*C2+B7*B2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L8*L2+K8*K2+J8*J2+I8*I2+H8*H2+G8*G2+F8*F2+E8*E2+D8*D2+C8*C2+B8*B2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2.75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L9*L2+K9*K2+J9*J2+I9*I2+H9*H2+G9*G2+F9*F2+E9*E2+D9*D2+C9*C2+B9*B2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L10*L2+K10*K2+J10*J2+I10*I2+H10*H2+G10*G2+F10*F2+E10*E2+D10*D2+C10*C2+B10*B2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L11*L2+K11*K2+J11*J2+I11*I2+H11*H2+G11*G2+F11*F2+E11*E2+D11*D2+C11*C2+B11*B2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L12*L2+K12*K2+J12*J2+I12*I2+H12*H2+G12*G2+F12*F2+E12*E2+D12*D2+C12*C2+B12*B2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L13*L2+K13*K2+J13*J2+I13*I2+H13*H2+G13*G2+F13*F2+E13*E2+D13*D2+C13*C2+B13*B2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L14*L2+K14*K2+J14*J2+I14*I2+H14*H2+G14*G2+F14*F2+E14*E2+D14*D2+C14*C2+B14*B2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L15*L2+K15*K2+J15*J2+I15*I2+H15*H2+G15*G2+F15*F2+E15*E2+D15*D2+C15*C2+B15*B2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L16*L2+K16*K2+J16*J2+I16*I2+H16*H2+G16*G2+F16*F2+E16*E2+D16*D2+C16*C2+B16*B2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L17*L2+K17*K2+J17*J2+I17*I2+H17*H2+G17*G2+F17*F2+E17*E2+D17*D2+C17*C2+B17*B2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L18*L2+K18*K2+J18*J2+I18*I2+H18*H2+G18*G2+F18*F2+E18*E2+D18*D2+C18*C2+B18*B2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L19*L2+K19*K2+J19*J2+I19*I2+H19*H2+G19*G2+F19*F2+E19*E2+D19*D2+C19*C2+B19*B2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L20*L2+K20*K2+J20*J2+I20*I2+H20*H2+G20*G2+F20*F2+E20*E2+D20*D2+C20*C2+B20*B2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L21*L2+K21*K2+J21*J2+I21*I2+H21*H2+G21*G2+F21*F2+E21*E2+D21*D2+C21*C2+B21*B2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L22*L2+K22*K2+J22*J2+I22*I2+H22*H2+G22*G2+F22*F2+E22*E2+D22*D2+C22*C2+B22*B2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74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L23*L2+K23*K2+J23*J2+I23*I2+H23*H2+G23*G2+F23*F2+E23*E2+D23*D2+C23*C2+B23*B2</f>
        <v>0</v>
      </c>
      <c r="O23" s="75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74"/>
      <c r="B24" s="23"/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6">
        <f t="shared" si="4"/>
        <v>0</v>
      </c>
      <c r="N24" s="27">
        <f>L24*L2+K24*K2+J24*J2+I24*I2+H24*H2+G24*G2+F24*F2+E24*E2+D24*D2+C24*C2+B24*B2</f>
        <v>0</v>
      </c>
      <c r="O24" s="75"/>
      <c r="P24" s="25"/>
      <c r="Q24" s="25"/>
      <c r="R24" s="25"/>
      <c r="S24" s="25"/>
      <c r="T24" s="29">
        <f t="shared" ref="T24:T33" si="5">P24+Q24+R24+S24</f>
        <v>0</v>
      </c>
      <c r="U24" s="26">
        <f t="shared" si="1"/>
        <v>0</v>
      </c>
      <c r="V24" s="30">
        <f t="shared" ref="V24:V33" si="6">T24</f>
        <v>0</v>
      </c>
      <c r="W24" s="31">
        <f t="shared" ref="W24:W33" si="7">U24-V24</f>
        <v>0</v>
      </c>
    </row>
    <row r="25" spans="1:23" s="53" customFormat="1" ht="13.5" customHeight="1">
      <c r="A25" s="74"/>
      <c r="B25" s="23"/>
      <c r="C25" s="24"/>
      <c r="D25" s="24"/>
      <c r="E25" s="24"/>
      <c r="F25" s="24"/>
      <c r="G25" s="25"/>
      <c r="H25" s="25"/>
      <c r="I25" s="25"/>
      <c r="J25" s="25"/>
      <c r="K25" s="25"/>
      <c r="L25" s="25"/>
      <c r="M25" s="26">
        <f t="shared" ref="M25:M33" si="8">SUM(B25:L25)</f>
        <v>0</v>
      </c>
      <c r="N25" s="27">
        <f>L25*L2+K25*K2+J25*J2+I25*I2+H25*H2+G25*G2+F25*F2+E25*E2+D25*D2+C25*C2+B25*B2</f>
        <v>0</v>
      </c>
      <c r="O25" s="75"/>
      <c r="P25" s="25"/>
      <c r="Q25" s="25"/>
      <c r="R25" s="25"/>
      <c r="S25" s="25"/>
      <c r="T25" s="29">
        <f t="shared" si="5"/>
        <v>0</v>
      </c>
      <c r="U25" s="26">
        <f t="shared" si="1"/>
        <v>0</v>
      </c>
      <c r="V25" s="30">
        <f t="shared" si="6"/>
        <v>0</v>
      </c>
      <c r="W25" s="31">
        <f t="shared" si="7"/>
        <v>0</v>
      </c>
    </row>
    <row r="26" spans="1:23" s="53" customFormat="1" ht="13.5" customHeight="1">
      <c r="A26" s="74"/>
      <c r="B26" s="23"/>
      <c r="C26" s="24"/>
      <c r="D26" s="24"/>
      <c r="E26" s="24"/>
      <c r="F26" s="24"/>
      <c r="G26" s="25"/>
      <c r="H26" s="25"/>
      <c r="I26" s="25"/>
      <c r="J26" s="25"/>
      <c r="K26" s="25"/>
      <c r="L26" s="25"/>
      <c r="M26" s="26">
        <f t="shared" si="8"/>
        <v>0</v>
      </c>
      <c r="N26" s="27">
        <f>L26*L2+K26*K2+J26*J2+I26*I2+H26*H2+G26*G2+F26*F2+E26*E2+D26*D2+C26*C2+B26*B2</f>
        <v>0</v>
      </c>
      <c r="O26" s="75"/>
      <c r="P26" s="25"/>
      <c r="Q26" s="25"/>
      <c r="R26" s="25"/>
      <c r="S26" s="25"/>
      <c r="T26" s="29">
        <f t="shared" si="5"/>
        <v>0</v>
      </c>
      <c r="U26" s="26">
        <f t="shared" si="1"/>
        <v>0</v>
      </c>
      <c r="V26" s="30">
        <f t="shared" si="6"/>
        <v>0</v>
      </c>
      <c r="W26" s="31">
        <f t="shared" si="7"/>
        <v>0</v>
      </c>
    </row>
    <row r="27" spans="1:23" s="53" customFormat="1" ht="13.5" customHeight="1">
      <c r="A27" s="74"/>
      <c r="B27" s="23"/>
      <c r="C27" s="24"/>
      <c r="D27" s="24"/>
      <c r="E27" s="24"/>
      <c r="F27" s="24"/>
      <c r="G27" s="25"/>
      <c r="H27" s="25"/>
      <c r="I27" s="25"/>
      <c r="J27" s="25"/>
      <c r="K27" s="25"/>
      <c r="L27" s="25"/>
      <c r="M27" s="26">
        <f t="shared" si="8"/>
        <v>0</v>
      </c>
      <c r="N27" s="27">
        <f>L27*L2+K27*K2+J27*J2+I27*I2+H27*H2+G27*G2+F27*F2+E27*E2+D27*D2+C27*C2+B27*B2</f>
        <v>0</v>
      </c>
      <c r="O27" s="75"/>
      <c r="P27" s="25"/>
      <c r="Q27" s="25"/>
      <c r="R27" s="25"/>
      <c r="S27" s="25"/>
      <c r="T27" s="29">
        <f t="shared" si="5"/>
        <v>0</v>
      </c>
      <c r="U27" s="26">
        <f t="shared" si="1"/>
        <v>0</v>
      </c>
      <c r="V27" s="30">
        <f t="shared" si="6"/>
        <v>0</v>
      </c>
      <c r="W27" s="31">
        <f t="shared" si="7"/>
        <v>0</v>
      </c>
    </row>
    <row r="28" spans="1:23" s="53" customFormat="1" ht="13.5" customHeight="1">
      <c r="A28" s="74"/>
      <c r="B28" s="23"/>
      <c r="C28" s="24"/>
      <c r="D28" s="24"/>
      <c r="E28" s="24"/>
      <c r="F28" s="24"/>
      <c r="G28" s="25"/>
      <c r="H28" s="25"/>
      <c r="I28" s="25"/>
      <c r="J28" s="25"/>
      <c r="K28" s="25"/>
      <c r="L28" s="25"/>
      <c r="M28" s="26">
        <f t="shared" si="8"/>
        <v>0</v>
      </c>
      <c r="N28" s="27">
        <f>L28*L2+K28*K2+J28*J2+I28*I2+H28*H2+G28*G2+F28*F2+E28*E2+D28*D2+C28*C2+B28*B2</f>
        <v>0</v>
      </c>
      <c r="O28" s="75"/>
      <c r="P28" s="25"/>
      <c r="Q28" s="25"/>
      <c r="R28" s="25"/>
      <c r="S28" s="25"/>
      <c r="T28" s="29">
        <f t="shared" si="5"/>
        <v>0</v>
      </c>
      <c r="U28" s="26">
        <f t="shared" si="1"/>
        <v>0</v>
      </c>
      <c r="V28" s="30">
        <f t="shared" si="6"/>
        <v>0</v>
      </c>
      <c r="W28" s="31">
        <f t="shared" si="7"/>
        <v>0</v>
      </c>
    </row>
    <row r="29" spans="1:23" s="53" customFormat="1" ht="13.5" customHeight="1">
      <c r="A29" s="74"/>
      <c r="B29" s="23"/>
      <c r="C29" s="24"/>
      <c r="D29" s="24"/>
      <c r="E29" s="24"/>
      <c r="F29" s="24"/>
      <c r="G29" s="25"/>
      <c r="H29" s="25"/>
      <c r="I29" s="25"/>
      <c r="J29" s="25"/>
      <c r="K29" s="25"/>
      <c r="L29" s="25"/>
      <c r="M29" s="26">
        <f t="shared" si="8"/>
        <v>0</v>
      </c>
      <c r="N29" s="27">
        <f>L29*L2+K29*K2+J29*J2+I29*I2+H29*H2+G29*G2+F29*F2+E29*E2+D29*D2+C29*C2+B29*B2</f>
        <v>0</v>
      </c>
      <c r="O29" s="75"/>
      <c r="P29" s="25"/>
      <c r="Q29" s="25"/>
      <c r="R29" s="25"/>
      <c r="S29" s="25"/>
      <c r="T29" s="29">
        <f t="shared" si="5"/>
        <v>0</v>
      </c>
      <c r="U29" s="26">
        <f t="shared" si="1"/>
        <v>0</v>
      </c>
      <c r="V29" s="30">
        <f t="shared" si="6"/>
        <v>0</v>
      </c>
      <c r="W29" s="31">
        <f t="shared" si="7"/>
        <v>0</v>
      </c>
    </row>
    <row r="30" spans="1:23" s="53" customFormat="1" ht="13.5" customHeight="1">
      <c r="A30" s="74"/>
      <c r="B30" s="23"/>
      <c r="C30" s="24"/>
      <c r="D30" s="24"/>
      <c r="E30" s="24"/>
      <c r="F30" s="24"/>
      <c r="G30" s="25"/>
      <c r="H30" s="25"/>
      <c r="I30" s="25"/>
      <c r="J30" s="25"/>
      <c r="K30" s="25"/>
      <c r="L30" s="25"/>
      <c r="M30" s="26">
        <f t="shared" si="8"/>
        <v>0</v>
      </c>
      <c r="N30" s="27">
        <f>L30*L2+K30*K2+J30*J2+I30*I2+H30*H2+G30*G2+F30*F2+E30*E2+D30*D2+C30*C2+B30*B2</f>
        <v>0</v>
      </c>
      <c r="O30" s="75"/>
      <c r="P30" s="25"/>
      <c r="Q30" s="25"/>
      <c r="R30" s="25"/>
      <c r="S30" s="25"/>
      <c r="T30" s="29">
        <f t="shared" si="5"/>
        <v>0</v>
      </c>
      <c r="U30" s="26">
        <f t="shared" si="1"/>
        <v>0</v>
      </c>
      <c r="V30" s="30">
        <f t="shared" si="6"/>
        <v>0</v>
      </c>
      <c r="W30" s="31">
        <f t="shared" si="7"/>
        <v>0</v>
      </c>
    </row>
    <row r="31" spans="1:23" s="53" customFormat="1" ht="13.5" customHeight="1">
      <c r="A31" s="74"/>
      <c r="B31" s="23"/>
      <c r="C31" s="24"/>
      <c r="D31" s="24"/>
      <c r="E31" s="24"/>
      <c r="F31" s="24"/>
      <c r="G31" s="25"/>
      <c r="H31" s="25"/>
      <c r="I31" s="25"/>
      <c r="J31" s="25"/>
      <c r="K31" s="25"/>
      <c r="L31" s="25"/>
      <c r="M31" s="26">
        <f t="shared" si="8"/>
        <v>0</v>
      </c>
      <c r="N31" s="27">
        <f>L31*L2+K31*K2+J31*J2+I31*I2+H31*H2+G31*G2+F31*F2+E31*E2+D31*D2+C31*C2+B31*B2</f>
        <v>0</v>
      </c>
      <c r="O31" s="75"/>
      <c r="P31" s="25"/>
      <c r="Q31" s="25"/>
      <c r="R31" s="25"/>
      <c r="S31" s="25"/>
      <c r="T31" s="29">
        <f t="shared" si="5"/>
        <v>0</v>
      </c>
      <c r="U31" s="26">
        <f t="shared" si="1"/>
        <v>0</v>
      </c>
      <c r="V31" s="30">
        <f t="shared" si="6"/>
        <v>0</v>
      </c>
      <c r="W31" s="31">
        <f t="shared" si="7"/>
        <v>0</v>
      </c>
    </row>
    <row r="32" spans="1:23" s="53" customFormat="1" ht="13.5" customHeight="1">
      <c r="A32" s="74"/>
      <c r="B32" s="23"/>
      <c r="C32" s="24"/>
      <c r="D32" s="24"/>
      <c r="E32" s="24"/>
      <c r="F32" s="24"/>
      <c r="G32" s="25"/>
      <c r="H32" s="25"/>
      <c r="I32" s="25"/>
      <c r="J32" s="25"/>
      <c r="K32" s="25"/>
      <c r="L32" s="25"/>
      <c r="M32" s="26">
        <f t="shared" si="8"/>
        <v>0</v>
      </c>
      <c r="N32" s="27">
        <f>L32*L2+K32*K2+J32*J2+I32*I2+H32*H2+G32*G2+F32*F2+E32*E2+D32*D2+C32*C2+B32*B2</f>
        <v>0</v>
      </c>
      <c r="O32" s="75"/>
      <c r="P32" s="25"/>
      <c r="Q32" s="25"/>
      <c r="R32" s="25"/>
      <c r="S32" s="25"/>
      <c r="T32" s="29">
        <f t="shared" si="5"/>
        <v>0</v>
      </c>
      <c r="U32" s="26">
        <f t="shared" si="1"/>
        <v>0</v>
      </c>
      <c r="V32" s="30">
        <f t="shared" si="6"/>
        <v>0</v>
      </c>
      <c r="W32" s="31">
        <f t="shared" si="7"/>
        <v>0</v>
      </c>
    </row>
    <row r="33" spans="1:23" s="53" customFormat="1" ht="13.5" customHeight="1">
      <c r="A33" s="34"/>
      <c r="B33" s="35"/>
      <c r="C33" s="36"/>
      <c r="D33" s="36"/>
      <c r="E33" s="36"/>
      <c r="F33" s="36"/>
      <c r="G33" s="37"/>
      <c r="H33" s="37"/>
      <c r="I33" s="37"/>
      <c r="J33" s="37"/>
      <c r="K33" s="37"/>
      <c r="L33" s="37"/>
      <c r="M33" s="38">
        <f t="shared" si="8"/>
        <v>0</v>
      </c>
      <c r="N33" s="39">
        <f>L33*L2+K33*K2+J33*J2+I33*I2+H33*H2+G33*G2+F33*F2+E33*E2+D33*D2+C33*C2+B33*B2</f>
        <v>0</v>
      </c>
      <c r="O33" s="40"/>
      <c r="P33" s="37"/>
      <c r="Q33" s="37"/>
      <c r="R33" s="37"/>
      <c r="S33" s="37"/>
      <c r="T33" s="41">
        <f t="shared" si="5"/>
        <v>0</v>
      </c>
      <c r="U33" s="38">
        <f t="shared" si="1"/>
        <v>0</v>
      </c>
      <c r="V33" s="42">
        <f t="shared" si="6"/>
        <v>0</v>
      </c>
      <c r="W33" s="65">
        <f t="shared" si="7"/>
        <v>0</v>
      </c>
    </row>
    <row r="34" spans="1:23" s="54" customFormat="1" ht="19.7" customHeight="1">
      <c r="A34" s="44" t="s">
        <v>38</v>
      </c>
      <c r="B34" s="45">
        <f>SUM(B4:B33)</f>
        <v>0</v>
      </c>
      <c r="C34" s="45">
        <f t="shared" ref="C34:V34" si="9">SUM(C4:C33)</f>
        <v>19</v>
      </c>
      <c r="D34" s="45">
        <f t="shared" si="9"/>
        <v>0</v>
      </c>
      <c r="E34" s="45">
        <f t="shared" si="9"/>
        <v>0</v>
      </c>
      <c r="F34" s="45">
        <f t="shared" si="9"/>
        <v>0</v>
      </c>
      <c r="G34" s="45">
        <f t="shared" si="9"/>
        <v>0</v>
      </c>
      <c r="H34" s="45">
        <f t="shared" si="9"/>
        <v>0</v>
      </c>
      <c r="I34" s="45">
        <f t="shared" si="9"/>
        <v>0</v>
      </c>
      <c r="J34" s="45">
        <f t="shared" si="9"/>
        <v>1</v>
      </c>
      <c r="K34" s="45">
        <f t="shared" si="9"/>
        <v>0</v>
      </c>
      <c r="L34" s="45">
        <f t="shared" si="9"/>
        <v>1</v>
      </c>
      <c r="M34" s="45">
        <f t="shared" si="9"/>
        <v>21</v>
      </c>
      <c r="N34" s="45">
        <f t="shared" si="9"/>
        <v>7430</v>
      </c>
      <c r="O34" s="46"/>
      <c r="P34" s="45">
        <f t="shared" si="9"/>
        <v>7430</v>
      </c>
      <c r="Q34" s="45">
        <f t="shared" si="9"/>
        <v>0</v>
      </c>
      <c r="R34" s="45">
        <f t="shared" si="9"/>
        <v>0</v>
      </c>
      <c r="S34" s="45">
        <f t="shared" si="9"/>
        <v>0</v>
      </c>
      <c r="T34" s="45">
        <f t="shared" si="9"/>
        <v>7430</v>
      </c>
      <c r="U34" s="45">
        <f t="shared" si="9"/>
        <v>7430</v>
      </c>
      <c r="V34" s="45">
        <f t="shared" si="9"/>
        <v>7430</v>
      </c>
      <c r="W34" s="66">
        <f>SUM(W2:W33)</f>
        <v>41800</v>
      </c>
    </row>
  </sheetData>
  <mergeCells count="10">
    <mergeCell ref="B1:N1"/>
    <mergeCell ref="O1:T1"/>
    <mergeCell ref="U1:W1"/>
    <mergeCell ref="P2:S2"/>
    <mergeCell ref="U2:V2"/>
    <mergeCell ref="A2:A3"/>
    <mergeCell ref="M2:M3"/>
    <mergeCell ref="N2:N3"/>
    <mergeCell ref="O2:O3"/>
    <mergeCell ref="T2:T3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"/>
  <sheetViews>
    <sheetView workbookViewId="0">
      <selection activeCell="S29" sqref="S29"/>
    </sheetView>
  </sheetViews>
  <sheetFormatPr defaultColWidth="8.7109375" defaultRowHeight="15"/>
  <cols>
    <col min="1" max="1" width="15.14062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2000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3080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69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70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70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70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2.75" customHeight="1">
      <c r="A9" s="70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2.75" customHeight="1">
      <c r="A10" s="70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70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70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70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70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71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7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7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7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7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7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2.75">
      <c r="A21" s="7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7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7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73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3080</v>
      </c>
    </row>
    <row r="62" spans="17:17">
      <c r="Q62" s="56" t="s">
        <v>66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J14" sqref="J14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20640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/>
      <c r="Q25" s="45"/>
      <c r="R25" s="45"/>
      <c r="S25" s="45"/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20640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workbookViewId="0">
      <selection activeCell="V30" sqref="V30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230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>
        <v>0</v>
      </c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/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19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6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6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Q25"/>
  <sheetViews>
    <sheetView workbookViewId="0">
      <selection activeCell="T29" sqref="T29"/>
    </sheetView>
  </sheetViews>
  <sheetFormatPr defaultColWidth="8.7109375" defaultRowHeight="15"/>
  <cols>
    <col min="1" max="1" width="14.5703125" style="55" customWidth="1"/>
    <col min="2" max="2" width="7.42578125" style="56" customWidth="1"/>
    <col min="3" max="3" width="9.5703125" style="56" customWidth="1"/>
    <col min="4" max="4" width="9.5703125" style="55" customWidth="1"/>
    <col min="5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2000</v>
      </c>
      <c r="G3" s="3">
        <v>7400</v>
      </c>
      <c r="H3" s="3">
        <v>5350</v>
      </c>
      <c r="I3" s="3">
        <v>2100</v>
      </c>
      <c r="J3" s="3">
        <v>7000</v>
      </c>
      <c r="K3" s="3">
        <v>280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13" t="s">
        <v>67</v>
      </c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63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32" t="s">
        <v>68</v>
      </c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2.75" customHeight="1">
      <c r="A7" s="32" t="s">
        <v>69</v>
      </c>
      <c r="B7" s="23"/>
      <c r="C7" s="24"/>
      <c r="D7" s="24"/>
      <c r="E7" s="24"/>
      <c r="F7" s="24"/>
      <c r="G7" s="25"/>
      <c r="H7" s="25"/>
      <c r="I7" s="25"/>
      <c r="J7" s="25"/>
      <c r="K7" s="67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32" t="s">
        <v>70</v>
      </c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32" t="s">
        <v>71</v>
      </c>
      <c r="B9" s="23"/>
      <c r="C9" s="24"/>
      <c r="D9" s="24"/>
      <c r="E9" s="24"/>
      <c r="F9" s="24"/>
      <c r="G9" s="25"/>
      <c r="H9" s="25"/>
      <c r="I9" s="25"/>
      <c r="J9" s="25"/>
      <c r="K9" s="25">
        <v>100</v>
      </c>
      <c r="L9" s="25"/>
      <c r="M9" s="26">
        <f t="shared" si="4"/>
        <v>100</v>
      </c>
      <c r="N9" s="27">
        <f>L9*L3+K9*K3+J9*J3+I9*I3+H9*H3+G9*G3+F9*F3+E9*E3+D9*D3+C9*C3+B9*B3</f>
        <v>28000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28000</v>
      </c>
      <c r="V9" s="30">
        <f t="shared" si="2"/>
        <v>0</v>
      </c>
      <c r="W9" s="31">
        <f t="shared" si="3"/>
        <v>28000</v>
      </c>
    </row>
    <row r="10" spans="1:95" s="53" customFormat="1" ht="12.75" customHeight="1">
      <c r="A10" s="32" t="s">
        <v>72</v>
      </c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2" customHeight="1">
      <c r="A11" s="32" t="s">
        <v>73</v>
      </c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32" t="s">
        <v>74</v>
      </c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2.75" customHeight="1">
      <c r="A13" s="32" t="s">
        <v>75</v>
      </c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>
        <v>1</v>
      </c>
      <c r="E14" s="24"/>
      <c r="F14" s="24"/>
      <c r="G14" s="25"/>
      <c r="H14" s="25"/>
      <c r="I14" s="25"/>
      <c r="J14" s="25"/>
      <c r="K14" s="25"/>
      <c r="L14" s="25"/>
      <c r="M14" s="26">
        <f t="shared" si="4"/>
        <v>1</v>
      </c>
      <c r="N14" s="27">
        <f>L14*L3+K14*K3+J14*J3+I14*I3+H14*H3+G14*G3+F14*F3+E14*E3+D14*D3+C14*C3+B14*B3</f>
        <v>1000</v>
      </c>
      <c r="O14" s="28"/>
      <c r="P14" s="25">
        <v>1000</v>
      </c>
      <c r="Q14" s="25"/>
      <c r="R14" s="25"/>
      <c r="S14" s="25"/>
      <c r="T14" s="29">
        <f t="shared" si="0"/>
        <v>1000</v>
      </c>
      <c r="U14" s="26">
        <f t="shared" si="1"/>
        <v>1000</v>
      </c>
      <c r="V14" s="30">
        <f t="shared" si="2"/>
        <v>1000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1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100</v>
      </c>
      <c r="L25" s="45">
        <f t="shared" si="5"/>
        <v>0</v>
      </c>
      <c r="M25" s="45">
        <f t="shared" si="5"/>
        <v>101</v>
      </c>
      <c r="N25" s="45">
        <f t="shared" si="5"/>
        <v>29000</v>
      </c>
      <c r="O25" s="46"/>
      <c r="P25" s="45">
        <f t="shared" si="5"/>
        <v>1000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1000</v>
      </c>
      <c r="U25" s="45">
        <f t="shared" si="5"/>
        <v>29000</v>
      </c>
      <c r="V25" s="45">
        <f t="shared" si="5"/>
        <v>1000</v>
      </c>
      <c r="W25" s="66">
        <f>SUM(W3:W24)</f>
        <v>28000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  <pageSetup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25"/>
  <sheetViews>
    <sheetView topLeftCell="A2" workbookViewId="0">
      <selection activeCell="U29" sqref="U29"/>
    </sheetView>
  </sheetViews>
  <sheetFormatPr defaultColWidth="8.7109375" defaultRowHeight="15"/>
  <cols>
    <col min="1" max="1" width="11.85546875" style="55" customWidth="1"/>
    <col min="2" max="3" width="7.42578125" style="56" customWidth="1"/>
    <col min="4" max="12" width="7.42578125" style="55" customWidth="1"/>
    <col min="13" max="14" width="9.28515625" style="55" customWidth="1"/>
    <col min="15" max="15" width="10.7109375" style="55" customWidth="1"/>
    <col min="16" max="19" width="7.140625" style="56" customWidth="1"/>
    <col min="20" max="22" width="8.5703125" style="56" customWidth="1"/>
    <col min="23" max="23" width="10.140625" style="56" customWidth="1"/>
    <col min="24" max="24" width="4.7109375" style="55" customWidth="1"/>
    <col min="25" max="16384" width="8.7109375" style="55"/>
  </cols>
  <sheetData>
    <row r="1" spans="1:95">
      <c r="A1" s="57" t="s">
        <v>54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58"/>
      <c r="P1" s="59"/>
      <c r="Q1" s="59"/>
      <c r="R1" s="59"/>
      <c r="S1" s="59"/>
      <c r="T1" s="59"/>
    </row>
    <row r="2" spans="1:95" s="50" customFormat="1" ht="16.7" customHeight="1">
      <c r="A2" s="1" t="s">
        <v>55</v>
      </c>
      <c r="B2" s="195" t="s">
        <v>1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7"/>
      <c r="O2" s="198" t="s">
        <v>56</v>
      </c>
      <c r="P2" s="198"/>
      <c r="Q2" s="198"/>
      <c r="R2" s="198"/>
      <c r="S2" s="198"/>
      <c r="T2" s="198"/>
      <c r="U2" s="199" t="s">
        <v>57</v>
      </c>
      <c r="V2" s="198"/>
      <c r="W2" s="200"/>
    </row>
    <row r="3" spans="1:95" s="51" customFormat="1" ht="16.7" customHeight="1">
      <c r="A3" s="186" t="s">
        <v>58</v>
      </c>
      <c r="B3" s="2">
        <v>280</v>
      </c>
      <c r="C3" s="3">
        <v>350</v>
      </c>
      <c r="D3" s="3">
        <v>1000</v>
      </c>
      <c r="E3" s="3">
        <v>500</v>
      </c>
      <c r="F3" s="3">
        <v>5000</v>
      </c>
      <c r="G3" s="3">
        <v>7400</v>
      </c>
      <c r="H3" s="3">
        <v>5350</v>
      </c>
      <c r="I3" s="3">
        <v>2100</v>
      </c>
      <c r="J3" s="3">
        <v>7000</v>
      </c>
      <c r="K3" s="3">
        <v>230</v>
      </c>
      <c r="L3" s="4">
        <v>390</v>
      </c>
      <c r="M3" s="188" t="s">
        <v>3</v>
      </c>
      <c r="N3" s="189" t="s">
        <v>4</v>
      </c>
      <c r="O3" s="190" t="s">
        <v>58</v>
      </c>
      <c r="P3" s="201" t="s">
        <v>56</v>
      </c>
      <c r="Q3" s="202"/>
      <c r="R3" s="202"/>
      <c r="S3" s="203"/>
      <c r="T3" s="192" t="s">
        <v>59</v>
      </c>
      <c r="U3" s="204" t="s">
        <v>60</v>
      </c>
      <c r="V3" s="205"/>
      <c r="W3" s="5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</row>
    <row r="4" spans="1:95" s="52" customFormat="1" ht="30">
      <c r="A4" s="187"/>
      <c r="B4" s="6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61</v>
      </c>
      <c r="K4" s="7" t="s">
        <v>16</v>
      </c>
      <c r="L4" s="8" t="s">
        <v>17</v>
      </c>
      <c r="M4" s="188"/>
      <c r="N4" s="189"/>
      <c r="O4" s="191"/>
      <c r="P4" s="9" t="s">
        <v>62</v>
      </c>
      <c r="Q4" s="9" t="s">
        <v>63</v>
      </c>
      <c r="R4" s="9" t="s">
        <v>64</v>
      </c>
      <c r="S4" s="9" t="s">
        <v>13</v>
      </c>
      <c r="T4" s="193"/>
      <c r="U4" s="10" t="s">
        <v>4</v>
      </c>
      <c r="V4" s="11" t="s">
        <v>65</v>
      </c>
      <c r="W4" s="12" t="s">
        <v>6</v>
      </c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</row>
    <row r="5" spans="1:95" s="53" customFormat="1" ht="13.5" customHeight="1">
      <c r="A5" s="62" t="s">
        <v>76</v>
      </c>
      <c r="B5" s="14"/>
      <c r="C5" s="15"/>
      <c r="D5" s="15"/>
      <c r="E5" s="15"/>
      <c r="F5" s="15"/>
      <c r="G5" s="16"/>
      <c r="H5" s="16"/>
      <c r="I5" s="16"/>
      <c r="J5" s="16"/>
      <c r="K5" s="16"/>
      <c r="L5" s="16"/>
      <c r="M5" s="17">
        <f>SUM(B5:L5)</f>
        <v>0</v>
      </c>
      <c r="N5" s="18">
        <f>L5*L3+K5*K3+J5*J3+I5*I3+H5*H3+G5*G3+F5*F3+E5*E3+D5*D3+C5*C3+B5*B3</f>
        <v>0</v>
      </c>
      <c r="O5" s="63"/>
      <c r="P5" s="16"/>
      <c r="Q5" s="16"/>
      <c r="R5" s="16"/>
      <c r="S5" s="16"/>
      <c r="T5" s="20">
        <f>P5+Q5+R5+S5</f>
        <v>0</v>
      </c>
      <c r="U5" s="17">
        <f>N5</f>
        <v>0</v>
      </c>
      <c r="V5" s="21">
        <f>T5</f>
        <v>0</v>
      </c>
      <c r="W5" s="22">
        <f>U5-V5</f>
        <v>0</v>
      </c>
    </row>
    <row r="6" spans="1:95" s="53" customFormat="1" ht="13.5" customHeight="1">
      <c r="A6" s="64" t="s">
        <v>68</v>
      </c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>SUM(B6:L6)</f>
        <v>0</v>
      </c>
      <c r="N6" s="27">
        <f>L6*L3+K6*K3+J6*J3+I6*I3+H6*H3+G6*G3+F6*F3+E6*E3+D6*D3+C6*C3+B6*B3</f>
        <v>0</v>
      </c>
      <c r="O6" s="28"/>
      <c r="P6" s="25"/>
      <c r="Q6" s="25"/>
      <c r="R6" s="25"/>
      <c r="S6" s="25"/>
      <c r="T6" s="29">
        <f t="shared" ref="T6:T24" si="0">P6+Q6+R6+S6</f>
        <v>0</v>
      </c>
      <c r="U6" s="26">
        <f t="shared" ref="U6:U24" si="1">N6</f>
        <v>0</v>
      </c>
      <c r="V6" s="30">
        <f t="shared" ref="V6:V24" si="2">T6</f>
        <v>0</v>
      </c>
      <c r="W6" s="31">
        <f t="shared" ref="W6:W24" si="3">U6-V6</f>
        <v>0</v>
      </c>
    </row>
    <row r="7" spans="1:95" s="53" customFormat="1" ht="13.5" customHeight="1">
      <c r="A7" s="64" t="s">
        <v>77</v>
      </c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ref="M7:M24" si="4">SUM(B7:L7)</f>
        <v>0</v>
      </c>
      <c r="N7" s="27">
        <f>L7*L3+K7*K3+J7*J3+I7*I3+H7*H3+G7*G3+F7*F3+E7*E3+D7*D3+C7*C3+B7*B3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95" s="53" customFormat="1" ht="13.5" customHeight="1">
      <c r="A8" s="64" t="s">
        <v>70</v>
      </c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L8*L3+K8*K3+J8*J3+I8*I3+H8*H3+G8*G3+F8*F3+E8*E3+D8*D3+C8*C3+B8*B3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95" s="53" customFormat="1" ht="13.5" customHeight="1">
      <c r="A9" s="64" t="s">
        <v>78</v>
      </c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L9*L3+K9*K3+J9*J3+I9*I3+H9*H3+G9*G3+F9*F3+E9*E3+D9*D3+C9*C3+B9*B3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95" s="53" customFormat="1" ht="13.5" customHeight="1">
      <c r="A10" s="64" t="s">
        <v>79</v>
      </c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L10*L3+K10*K3+J10*J3+I10*I3+H10*H3+G10*G3+F10*F3+E10*E3+D10*D3+C10*C3+B10*B3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95" s="53" customFormat="1" ht="13.5" customHeight="1">
      <c r="A11" s="64" t="s">
        <v>73</v>
      </c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L11*L3+K11*K3+J11*J3+I11*I3+H11*H3+G11*G3+F11*F3+E11*E3+D11*D3+C11*C3+B11*B3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95" s="53" customFormat="1" ht="13.5" customHeight="1">
      <c r="A12" s="64" t="s">
        <v>80</v>
      </c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L12*L3+K12*K3+J12*J3+I12*I3+H12*H3+G12*G3+F12*F3+E12*E3+D12*D3+C12*C3+B12*B3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95" s="53" customFormat="1" ht="13.5" customHeight="1">
      <c r="A13" s="64" t="s">
        <v>81</v>
      </c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L13*L3+K13*K3+J13*J3+I13*I3+H13*H3+G13*G3+F13*F3+E13*E3+D13*D3+C13*C3+B13*B3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95" s="53" customFormat="1" ht="13.5" customHeight="1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L14*L3+K14*K3+J14*J3+I14*I3+H14*H3+G14*G3+F14*F3+E14*E3+D14*D3+C14*C3+B14*B3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95" s="53" customFormat="1" ht="13.5" customHeight="1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L15*L3+K15*K3+J15*J3+I15*I3+H15*H3+G15*G3+F15*F3+E15*E3+D15*D3+C15*C3+B15*B3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</row>
    <row r="16" spans="1:95" s="53" customFormat="1" ht="13.5" customHeight="1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L16*L3+K16*K3+J16*J3+I16*I3+H16*H3+G16*G3+F16*F3+E16*E3+D16*D3+C16*C3+B16*B3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 s="53" customFormat="1" ht="13.5" customHeight="1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L17*L3+K17*K3+J17*J3+I17*I3+H17*H3+G17*G3+F17*F3+E17*E3+D17*D3+C17*C3+B17*B3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 s="53" customFormat="1" ht="13.5" customHeight="1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L18*L3+K18*K3+J18*J3+I18*I3+H18*H3+G18*G3+F18*F3+E18*E3+D18*D3+C18*C3+B18*B3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 s="53" customFormat="1" ht="13.5" customHeight="1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L19*L3+K19*K3+J19*J3+I19*I3+H19*H3+G19*G3+F19*F3+E19*E3+D19*D3+C19*C3+B19*B3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 s="53" customFormat="1" ht="13.5" customHeight="1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L20*L3+K20*K3+J20*J3+I20*I3+H20*H3+G20*G3+F20*F3+E20*E3+D20*D3+C20*C3+B20*B3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 s="53" customFormat="1" ht="13.5" customHeight="1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L21*L3+K21*K3+J21*J3+I21*I3+H21*H3+G21*G3+F21*F3+E21*E3+D21*D3+C21*C3+B21*B3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 s="53" customFormat="1" ht="13.5" customHeight="1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L22*L3+K22*K3+J22*J3+I22*I3+H22*H3+G22*G3+F22*F3+E22*E3+D22*D3+C22*C3+B22*B3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 s="53" customFormat="1" ht="13.5" customHeight="1">
      <c r="A23" s="32"/>
      <c r="B23" s="23"/>
      <c r="C23" s="24"/>
      <c r="D23" s="24"/>
      <c r="E23" s="24"/>
      <c r="F23" s="24"/>
      <c r="G23" s="25"/>
      <c r="H23" s="25"/>
      <c r="I23" s="25"/>
      <c r="J23" s="25"/>
      <c r="K23" s="25"/>
      <c r="L23" s="25"/>
      <c r="M23" s="26">
        <f t="shared" si="4"/>
        <v>0</v>
      </c>
      <c r="N23" s="27">
        <f>L23*L3+K23*K3+J23*J3+I23*I3+H23*H3+G23*G3+F23*F3+E23*E3+D23*D3+C23*C3+B23*B3</f>
        <v>0</v>
      </c>
      <c r="O23" s="28"/>
      <c r="P23" s="25"/>
      <c r="Q23" s="25"/>
      <c r="R23" s="25"/>
      <c r="S23" s="25"/>
      <c r="T23" s="29">
        <f t="shared" si="0"/>
        <v>0</v>
      </c>
      <c r="U23" s="26">
        <f t="shared" si="1"/>
        <v>0</v>
      </c>
      <c r="V23" s="30">
        <f t="shared" si="2"/>
        <v>0</v>
      </c>
      <c r="W23" s="31">
        <f t="shared" si="3"/>
        <v>0</v>
      </c>
    </row>
    <row r="24" spans="1:23" s="53" customFormat="1" ht="13.5" customHeight="1">
      <c r="A24" s="34"/>
      <c r="B24" s="35"/>
      <c r="C24" s="36"/>
      <c r="D24" s="36"/>
      <c r="E24" s="36"/>
      <c r="F24" s="36"/>
      <c r="G24" s="37"/>
      <c r="H24" s="37"/>
      <c r="I24" s="37"/>
      <c r="J24" s="37"/>
      <c r="K24" s="37"/>
      <c r="L24" s="37"/>
      <c r="M24" s="38">
        <f t="shared" si="4"/>
        <v>0</v>
      </c>
      <c r="N24" s="39">
        <f>L24*L3+K24*K3+J24*J3+I24*I3+H24*H3+G24*G3+F24*F3+E24*E3+D24*D3+C24*C3+B24*B3</f>
        <v>0</v>
      </c>
      <c r="O24" s="40"/>
      <c r="P24" s="37"/>
      <c r="Q24" s="37"/>
      <c r="R24" s="37"/>
      <c r="S24" s="37"/>
      <c r="T24" s="41">
        <f t="shared" si="0"/>
        <v>0</v>
      </c>
      <c r="U24" s="38">
        <f t="shared" si="1"/>
        <v>0</v>
      </c>
      <c r="V24" s="42">
        <f t="shared" si="2"/>
        <v>0</v>
      </c>
      <c r="W24" s="65">
        <f t="shared" si="3"/>
        <v>0</v>
      </c>
    </row>
    <row r="25" spans="1:23" s="54" customFormat="1" ht="19.7" customHeight="1">
      <c r="A25" s="44" t="s">
        <v>38</v>
      </c>
      <c r="B25" s="45">
        <f>SUM(B5:B24)</f>
        <v>0</v>
      </c>
      <c r="C25" s="45">
        <f t="shared" ref="C25:V25" si="5">SUM(C5:C24)</f>
        <v>0</v>
      </c>
      <c r="D25" s="45">
        <f t="shared" si="5"/>
        <v>0</v>
      </c>
      <c r="E25" s="45">
        <f t="shared" si="5"/>
        <v>0</v>
      </c>
      <c r="F25" s="45">
        <f t="shared" si="5"/>
        <v>0</v>
      </c>
      <c r="G25" s="45">
        <f t="shared" si="5"/>
        <v>0</v>
      </c>
      <c r="H25" s="45">
        <f t="shared" si="5"/>
        <v>0</v>
      </c>
      <c r="I25" s="45">
        <f t="shared" si="5"/>
        <v>0</v>
      </c>
      <c r="J25" s="45">
        <f t="shared" si="5"/>
        <v>0</v>
      </c>
      <c r="K25" s="45">
        <f t="shared" si="5"/>
        <v>0</v>
      </c>
      <c r="L25" s="45">
        <f t="shared" si="5"/>
        <v>0</v>
      </c>
      <c r="M25" s="45">
        <f t="shared" si="5"/>
        <v>0</v>
      </c>
      <c r="N25" s="45">
        <f t="shared" si="5"/>
        <v>0</v>
      </c>
      <c r="O25" s="46"/>
      <c r="P25" s="45">
        <f t="shared" si="5"/>
        <v>0</v>
      </c>
      <c r="Q25" s="45">
        <f t="shared" si="5"/>
        <v>0</v>
      </c>
      <c r="R25" s="45">
        <f t="shared" si="5"/>
        <v>0</v>
      </c>
      <c r="S25" s="45">
        <f t="shared" si="5"/>
        <v>0</v>
      </c>
      <c r="T25" s="45">
        <f t="shared" si="5"/>
        <v>0</v>
      </c>
      <c r="U25" s="45">
        <f t="shared" si="5"/>
        <v>0</v>
      </c>
      <c r="V25" s="45">
        <f t="shared" si="5"/>
        <v>0</v>
      </c>
      <c r="W25" s="66">
        <f>SUM(W3:W24)</f>
        <v>0</v>
      </c>
    </row>
  </sheetData>
  <mergeCells count="11">
    <mergeCell ref="B1:N1"/>
    <mergeCell ref="B2:N2"/>
    <mergeCell ref="O2:T2"/>
    <mergeCell ref="U2:W2"/>
    <mergeCell ref="P3:S3"/>
    <mergeCell ref="U3:V3"/>
    <mergeCell ref="A3:A4"/>
    <mergeCell ref="M3:M4"/>
    <mergeCell ref="N3:N4"/>
    <mergeCell ref="O3:O4"/>
    <mergeCell ref="T3:T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workbookViewId="0">
      <selection activeCell="X9" sqref="X9"/>
    </sheetView>
  </sheetViews>
  <sheetFormatPr defaultColWidth="9" defaultRowHeight="15"/>
  <cols>
    <col min="1" max="1" width="9.5703125" customWidth="1"/>
  </cols>
  <sheetData>
    <row r="1" spans="1:25">
      <c r="A1" s="1" t="s">
        <v>55</v>
      </c>
      <c r="B1" s="195" t="s">
        <v>1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198" t="s">
        <v>56</v>
      </c>
      <c r="P1" s="198"/>
      <c r="Q1" s="198"/>
      <c r="R1" s="198"/>
      <c r="S1" s="198"/>
      <c r="T1" s="198"/>
      <c r="U1" s="199" t="s">
        <v>57</v>
      </c>
      <c r="V1" s="198"/>
      <c r="W1" s="200"/>
    </row>
    <row r="2" spans="1:25">
      <c r="A2" s="186" t="s">
        <v>58</v>
      </c>
      <c r="B2" s="2">
        <v>280</v>
      </c>
      <c r="C2" s="3">
        <v>350</v>
      </c>
      <c r="D2" s="3">
        <v>1000</v>
      </c>
      <c r="E2" s="3">
        <v>500</v>
      </c>
      <c r="F2" s="3">
        <v>5000</v>
      </c>
      <c r="G2" s="3">
        <v>7400</v>
      </c>
      <c r="H2" s="3">
        <v>5350</v>
      </c>
      <c r="I2" s="3">
        <v>2100</v>
      </c>
      <c r="J2" s="3">
        <v>7000</v>
      </c>
      <c r="K2" s="3">
        <v>280</v>
      </c>
      <c r="L2" s="4">
        <v>390</v>
      </c>
      <c r="M2" s="188" t="s">
        <v>3</v>
      </c>
      <c r="N2" s="189" t="s">
        <v>4</v>
      </c>
      <c r="O2" s="190" t="s">
        <v>58</v>
      </c>
      <c r="P2" s="201" t="s">
        <v>56</v>
      </c>
      <c r="Q2" s="202"/>
      <c r="R2" s="202"/>
      <c r="S2" s="203"/>
      <c r="T2" s="192" t="s">
        <v>59</v>
      </c>
      <c r="U2" s="204" t="s">
        <v>60</v>
      </c>
      <c r="V2" s="205"/>
      <c r="W2" s="5"/>
    </row>
    <row r="3" spans="1:25" ht="30">
      <c r="A3" s="187"/>
      <c r="B3" s="6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61</v>
      </c>
      <c r="K3" s="7" t="s">
        <v>16</v>
      </c>
      <c r="L3" s="8" t="s">
        <v>17</v>
      </c>
      <c r="M3" s="188"/>
      <c r="N3" s="189"/>
      <c r="O3" s="191"/>
      <c r="P3" s="9" t="s">
        <v>62</v>
      </c>
      <c r="Q3" s="9" t="s">
        <v>63</v>
      </c>
      <c r="R3" s="9" t="s">
        <v>64</v>
      </c>
      <c r="S3" s="9" t="s">
        <v>13</v>
      </c>
      <c r="T3" s="193"/>
      <c r="U3" s="10" t="s">
        <v>4</v>
      </c>
      <c r="V3" s="11" t="s">
        <v>65</v>
      </c>
      <c r="W3" s="12" t="s">
        <v>6</v>
      </c>
    </row>
    <row r="4" spans="1:25">
      <c r="A4" s="13"/>
      <c r="B4" s="14"/>
      <c r="C4" s="15"/>
      <c r="D4" s="15"/>
      <c r="E4" s="15"/>
      <c r="F4" s="15"/>
      <c r="G4" s="16"/>
      <c r="H4" s="16"/>
      <c r="I4" s="16"/>
      <c r="J4" s="16"/>
      <c r="K4" s="16"/>
      <c r="L4" s="16"/>
      <c r="M4" s="17">
        <f>SUM(B4:L4)</f>
        <v>0</v>
      </c>
      <c r="N4" s="18">
        <f>L4*L2+K4*K2+J4*J2+I4*I2+H4*H2+G4*G2+F4*F2+E4*E2+D4*D2+C4*C2+B4*B2</f>
        <v>0</v>
      </c>
      <c r="O4" s="19"/>
      <c r="P4" s="16"/>
      <c r="Q4" s="16"/>
      <c r="R4" s="16"/>
      <c r="S4" s="16"/>
      <c r="T4" s="20">
        <f>P4+Q4+R4+S4</f>
        <v>0</v>
      </c>
      <c r="U4" s="17">
        <f>N4</f>
        <v>0</v>
      </c>
      <c r="V4" s="21">
        <f>T4</f>
        <v>0</v>
      </c>
      <c r="W4" s="22">
        <f>U4-V4</f>
        <v>0</v>
      </c>
    </row>
    <row r="5" spans="1:25">
      <c r="A5" s="13"/>
      <c r="B5" s="23"/>
      <c r="C5" s="24"/>
      <c r="D5" s="24"/>
      <c r="E5" s="24"/>
      <c r="F5" s="24"/>
      <c r="G5" s="25"/>
      <c r="H5" s="25"/>
      <c r="I5" s="25"/>
      <c r="J5" s="25"/>
      <c r="K5" s="25"/>
      <c r="L5" s="25"/>
      <c r="M5" s="26">
        <f>SUM(B5:L5)</f>
        <v>0</v>
      </c>
      <c r="N5" s="27">
        <f>L5*L2+K5*K2+J5*J2+I5*I2+H5*H2+G5*G2+F5*F2+E5*E2+D5*D2+C5*C2+B5*B2</f>
        <v>0</v>
      </c>
      <c r="O5" s="28"/>
      <c r="P5" s="25"/>
      <c r="Q5" s="25"/>
      <c r="R5" s="25"/>
      <c r="S5" s="25"/>
      <c r="T5" s="29">
        <f t="shared" ref="T5:T23" si="0">P5+Q5+R5+S5</f>
        <v>0</v>
      </c>
      <c r="U5" s="26">
        <f t="shared" ref="U5:U23" si="1">N5</f>
        <v>0</v>
      </c>
      <c r="V5" s="30">
        <f t="shared" ref="V5:V23" si="2">T5</f>
        <v>0</v>
      </c>
      <c r="W5" s="31">
        <f t="shared" ref="W5:W23" si="3">U5-V5</f>
        <v>0</v>
      </c>
    </row>
    <row r="6" spans="1:25">
      <c r="A6" s="13"/>
      <c r="B6" s="23"/>
      <c r="C6" s="24"/>
      <c r="D6" s="24"/>
      <c r="E6" s="24"/>
      <c r="F6" s="24"/>
      <c r="G6" s="25"/>
      <c r="H6" s="25"/>
      <c r="I6" s="25"/>
      <c r="J6" s="25"/>
      <c r="K6" s="25"/>
      <c r="L6" s="25"/>
      <c r="M6" s="26">
        <f t="shared" ref="M6:M23" si="4">SUM(B6:L6)</f>
        <v>0</v>
      </c>
      <c r="N6" s="27">
        <f>L6*L2+K6*K2+J6*J2+I6*I2+H6*H2+G6*G2+F6*F2+E6*E2+D6*D2+C6*C2+B6*B2</f>
        <v>0</v>
      </c>
      <c r="O6" s="28"/>
      <c r="P6" s="25"/>
      <c r="Q6" s="25"/>
      <c r="R6" s="25"/>
      <c r="S6" s="25"/>
      <c r="T6" s="29">
        <f t="shared" si="0"/>
        <v>0</v>
      </c>
      <c r="U6" s="26">
        <f t="shared" si="1"/>
        <v>0</v>
      </c>
      <c r="V6" s="30">
        <f t="shared" si="2"/>
        <v>0</v>
      </c>
      <c r="W6" s="31">
        <f t="shared" si="3"/>
        <v>0</v>
      </c>
    </row>
    <row r="7" spans="1:25">
      <c r="A7" s="32"/>
      <c r="B7" s="23"/>
      <c r="C7" s="24"/>
      <c r="D7" s="24"/>
      <c r="E7" s="24"/>
      <c r="F7" s="24"/>
      <c r="G7" s="25"/>
      <c r="H7" s="25"/>
      <c r="I7" s="25"/>
      <c r="J7" s="25"/>
      <c r="K7" s="25"/>
      <c r="L7" s="25"/>
      <c r="M7" s="26">
        <f t="shared" si="4"/>
        <v>0</v>
      </c>
      <c r="N7" s="27">
        <f>L7*L2+K7*K2+J7*J2+I7*I2+H7*H2+G7*G2+F7*F2+E7*E2+D7*D2+C7*C2+B7*B2</f>
        <v>0</v>
      </c>
      <c r="O7" s="28"/>
      <c r="P7" s="25"/>
      <c r="Q7" s="25"/>
      <c r="R7" s="25"/>
      <c r="S7" s="25"/>
      <c r="T7" s="29">
        <f t="shared" si="0"/>
        <v>0</v>
      </c>
      <c r="U7" s="26">
        <f t="shared" si="1"/>
        <v>0</v>
      </c>
      <c r="V7" s="30">
        <f t="shared" si="2"/>
        <v>0</v>
      </c>
      <c r="W7" s="31">
        <f t="shared" si="3"/>
        <v>0</v>
      </c>
    </row>
    <row r="8" spans="1:25">
      <c r="A8" s="32"/>
      <c r="B8" s="23"/>
      <c r="C8" s="24"/>
      <c r="D8" s="24"/>
      <c r="E8" s="24"/>
      <c r="F8" s="24"/>
      <c r="G8" s="25"/>
      <c r="H8" s="25"/>
      <c r="I8" s="25"/>
      <c r="J8" s="25"/>
      <c r="K8" s="25"/>
      <c r="L8" s="25"/>
      <c r="M8" s="26">
        <f t="shared" si="4"/>
        <v>0</v>
      </c>
      <c r="N8" s="27">
        <f>L8*L2+K8*K2+J8*J2+I8*I2+H8*H2+G8*G2+F8*F2+E8*E2+D8*D2+C8*C2+B8*B2</f>
        <v>0</v>
      </c>
      <c r="O8" s="28"/>
      <c r="P8" s="25"/>
      <c r="Q8" s="25"/>
      <c r="R8" s="25"/>
      <c r="S8" s="25"/>
      <c r="T8" s="29">
        <f t="shared" si="0"/>
        <v>0</v>
      </c>
      <c r="U8" s="26">
        <f t="shared" si="1"/>
        <v>0</v>
      </c>
      <c r="V8" s="30">
        <f t="shared" si="2"/>
        <v>0</v>
      </c>
      <c r="W8" s="31">
        <f t="shared" si="3"/>
        <v>0</v>
      </c>
    </row>
    <row r="9" spans="1:25">
      <c r="A9" s="32"/>
      <c r="B9" s="23"/>
      <c r="C9" s="24"/>
      <c r="D9" s="24"/>
      <c r="E9" s="24"/>
      <c r="F9" s="24"/>
      <c r="G9" s="25"/>
      <c r="H9" s="25"/>
      <c r="I9" s="25"/>
      <c r="J9" s="25"/>
      <c r="K9" s="25"/>
      <c r="L9" s="25"/>
      <c r="M9" s="26">
        <f t="shared" si="4"/>
        <v>0</v>
      </c>
      <c r="N9" s="27">
        <f>L9*L2+K9*K2+J9*J2+I9*I2+H9*H2+G9*G2+F9*F2+E9*E2+D9*D2+C9*C2+B9*B2</f>
        <v>0</v>
      </c>
      <c r="O9" s="28"/>
      <c r="P9" s="25"/>
      <c r="Q9" s="25"/>
      <c r="R9" s="25"/>
      <c r="S9" s="25"/>
      <c r="T9" s="29">
        <f t="shared" si="0"/>
        <v>0</v>
      </c>
      <c r="U9" s="26">
        <f t="shared" si="1"/>
        <v>0</v>
      </c>
      <c r="V9" s="30">
        <f t="shared" si="2"/>
        <v>0</v>
      </c>
      <c r="W9" s="31">
        <f t="shared" si="3"/>
        <v>0</v>
      </c>
    </row>
    <row r="10" spans="1:25">
      <c r="A10" s="32"/>
      <c r="B10" s="23"/>
      <c r="C10" s="24"/>
      <c r="D10" s="24"/>
      <c r="E10" s="24"/>
      <c r="F10" s="24"/>
      <c r="G10" s="25"/>
      <c r="H10" s="25"/>
      <c r="I10" s="25"/>
      <c r="J10" s="25"/>
      <c r="K10" s="25"/>
      <c r="L10" s="25"/>
      <c r="M10" s="26">
        <f t="shared" si="4"/>
        <v>0</v>
      </c>
      <c r="N10" s="27">
        <f>L10*L2+K10*K2+J10*J2+I10*I2+H10*H2+G10*G2+F10*F2+E10*E2+D10*D2+C10*C2+B10*B2</f>
        <v>0</v>
      </c>
      <c r="O10" s="28"/>
      <c r="P10" s="25"/>
      <c r="Q10" s="25"/>
      <c r="R10" s="25"/>
      <c r="S10" s="25"/>
      <c r="T10" s="29">
        <f t="shared" si="0"/>
        <v>0</v>
      </c>
      <c r="U10" s="26">
        <f t="shared" si="1"/>
        <v>0</v>
      </c>
      <c r="V10" s="30">
        <f t="shared" si="2"/>
        <v>0</v>
      </c>
      <c r="W10" s="31">
        <f t="shared" si="3"/>
        <v>0</v>
      </c>
    </row>
    <row r="11" spans="1:25">
      <c r="A11" s="32"/>
      <c r="B11" s="23"/>
      <c r="C11" s="24"/>
      <c r="D11" s="24"/>
      <c r="E11" s="24"/>
      <c r="F11" s="24"/>
      <c r="G11" s="25"/>
      <c r="H11" s="25"/>
      <c r="I11" s="25"/>
      <c r="J11" s="25"/>
      <c r="K11" s="25"/>
      <c r="L11" s="25"/>
      <c r="M11" s="26">
        <f t="shared" si="4"/>
        <v>0</v>
      </c>
      <c r="N11" s="27">
        <f>L11*L2+K11*K2+J11*J2+I11*I2+H11*H2+G11*G2+F11*F2+E11*E2+D11*D2+C11*C2+B11*B2</f>
        <v>0</v>
      </c>
      <c r="O11" s="28"/>
      <c r="P11" s="25"/>
      <c r="Q11" s="25"/>
      <c r="R11" s="25"/>
      <c r="S11" s="25"/>
      <c r="T11" s="29">
        <f t="shared" si="0"/>
        <v>0</v>
      </c>
      <c r="U11" s="26">
        <f t="shared" si="1"/>
        <v>0</v>
      </c>
      <c r="V11" s="30">
        <f t="shared" si="2"/>
        <v>0</v>
      </c>
      <c r="W11" s="31">
        <f t="shared" si="3"/>
        <v>0</v>
      </c>
    </row>
    <row r="12" spans="1:25">
      <c r="A12" s="32"/>
      <c r="B12" s="23"/>
      <c r="C12" s="24"/>
      <c r="D12" s="24"/>
      <c r="E12" s="24"/>
      <c r="F12" s="24"/>
      <c r="G12" s="25"/>
      <c r="H12" s="25"/>
      <c r="I12" s="25"/>
      <c r="J12" s="25"/>
      <c r="K12" s="25"/>
      <c r="L12" s="25"/>
      <c r="M12" s="26">
        <f t="shared" si="4"/>
        <v>0</v>
      </c>
      <c r="N12" s="27">
        <f>L12*L2+K12*K2+J12*J2+I12*I2+H12*H2+G12*G2+F12*F2+E12*E2+D12*D2+C12*C2+B12*B2</f>
        <v>0</v>
      </c>
      <c r="O12" s="28"/>
      <c r="P12" s="25"/>
      <c r="Q12" s="25"/>
      <c r="R12" s="25"/>
      <c r="S12" s="25"/>
      <c r="T12" s="29">
        <f t="shared" si="0"/>
        <v>0</v>
      </c>
      <c r="U12" s="26">
        <f t="shared" si="1"/>
        <v>0</v>
      </c>
      <c r="V12" s="30">
        <f t="shared" si="2"/>
        <v>0</v>
      </c>
      <c r="W12" s="31">
        <f t="shared" si="3"/>
        <v>0</v>
      </c>
    </row>
    <row r="13" spans="1:25">
      <c r="A13" s="32"/>
      <c r="B13" s="23"/>
      <c r="C13" s="24"/>
      <c r="D13" s="24"/>
      <c r="E13" s="24"/>
      <c r="F13" s="24"/>
      <c r="G13" s="25"/>
      <c r="H13" s="25"/>
      <c r="I13" s="25"/>
      <c r="J13" s="25"/>
      <c r="K13" s="25"/>
      <c r="L13" s="25"/>
      <c r="M13" s="26">
        <f t="shared" si="4"/>
        <v>0</v>
      </c>
      <c r="N13" s="27">
        <f>L13*L2+K13*K2+J13*J2+I13*I2+H13*H2+G13*G2+F13*F2+E13*E2+D13*D2+C13*C2+B13*B2</f>
        <v>0</v>
      </c>
      <c r="O13" s="28"/>
      <c r="P13" s="25"/>
      <c r="Q13" s="25"/>
      <c r="R13" s="25"/>
      <c r="S13" s="25"/>
      <c r="T13" s="29">
        <f t="shared" si="0"/>
        <v>0</v>
      </c>
      <c r="U13" s="26">
        <f t="shared" si="1"/>
        <v>0</v>
      </c>
      <c r="V13" s="30">
        <f t="shared" si="2"/>
        <v>0</v>
      </c>
      <c r="W13" s="31">
        <f t="shared" si="3"/>
        <v>0</v>
      </c>
    </row>
    <row r="14" spans="1:25">
      <c r="A14" s="32"/>
      <c r="B14" s="23"/>
      <c r="C14" s="24"/>
      <c r="D14" s="24"/>
      <c r="E14" s="24"/>
      <c r="F14" s="24"/>
      <c r="G14" s="25"/>
      <c r="H14" s="25"/>
      <c r="I14" s="25"/>
      <c r="J14" s="25"/>
      <c r="K14" s="25"/>
      <c r="L14" s="25"/>
      <c r="M14" s="26">
        <f t="shared" si="4"/>
        <v>0</v>
      </c>
      <c r="N14" s="27">
        <f>L14*L2+K14*K2+J14*J2+I14*I2+H14*H2+G14*G2+F14*F2+E14*E2+D14*D2+C14*C2+B14*B2</f>
        <v>0</v>
      </c>
      <c r="O14" s="28"/>
      <c r="P14" s="25"/>
      <c r="Q14" s="25"/>
      <c r="R14" s="25"/>
      <c r="S14" s="25"/>
      <c r="T14" s="29">
        <f t="shared" si="0"/>
        <v>0</v>
      </c>
      <c r="U14" s="26">
        <f t="shared" si="1"/>
        <v>0</v>
      </c>
      <c r="V14" s="30">
        <f t="shared" si="2"/>
        <v>0</v>
      </c>
      <c r="W14" s="31">
        <f t="shared" si="3"/>
        <v>0</v>
      </c>
    </row>
    <row r="15" spans="1:25">
      <c r="A15" s="32"/>
      <c r="B15" s="23"/>
      <c r="C15" s="24"/>
      <c r="D15" s="24"/>
      <c r="E15" s="24"/>
      <c r="F15" s="24"/>
      <c r="G15" s="25"/>
      <c r="H15" s="25"/>
      <c r="I15" s="25"/>
      <c r="J15" s="25"/>
      <c r="K15" s="25"/>
      <c r="L15" s="25"/>
      <c r="M15" s="26">
        <f t="shared" si="4"/>
        <v>0</v>
      </c>
      <c r="N15" s="27">
        <f>L15*L2+K15*K2+J15*J2+I15*I2+H15*H2+G15*G2+F15*F2+E15*E2+D15*D2+C15*C2+B15*B2</f>
        <v>0</v>
      </c>
      <c r="O15" s="28"/>
      <c r="P15" s="25"/>
      <c r="Q15" s="25"/>
      <c r="R15" s="25"/>
      <c r="S15" s="25"/>
      <c r="T15" s="29">
        <f t="shared" si="0"/>
        <v>0</v>
      </c>
      <c r="U15" s="26">
        <f t="shared" si="1"/>
        <v>0</v>
      </c>
      <c r="V15" s="30">
        <f t="shared" si="2"/>
        <v>0</v>
      </c>
      <c r="W15" s="31">
        <f t="shared" si="3"/>
        <v>0</v>
      </c>
      <c r="Y15" s="33"/>
    </row>
    <row r="16" spans="1:25">
      <c r="A16" s="32"/>
      <c r="B16" s="23"/>
      <c r="C16" s="24"/>
      <c r="D16" s="24"/>
      <c r="E16" s="24"/>
      <c r="F16" s="24"/>
      <c r="G16" s="25"/>
      <c r="H16" s="25"/>
      <c r="I16" s="25"/>
      <c r="J16" s="25"/>
      <c r="K16" s="25"/>
      <c r="L16" s="25"/>
      <c r="M16" s="26">
        <f t="shared" si="4"/>
        <v>0</v>
      </c>
      <c r="N16" s="27">
        <f>L16*L2+K16*K2+J16*J2+I16*I2+H16*H2+G16*G2+F16*F2+E16*E2+D16*D2+C16*C2+B16*B2</f>
        <v>0</v>
      </c>
      <c r="O16" s="28"/>
      <c r="P16" s="25"/>
      <c r="Q16" s="25"/>
      <c r="R16" s="25"/>
      <c r="S16" s="25"/>
      <c r="T16" s="29">
        <f t="shared" si="0"/>
        <v>0</v>
      </c>
      <c r="U16" s="26">
        <f t="shared" si="1"/>
        <v>0</v>
      </c>
      <c r="V16" s="30">
        <f t="shared" si="2"/>
        <v>0</v>
      </c>
      <c r="W16" s="31">
        <f t="shared" si="3"/>
        <v>0</v>
      </c>
    </row>
    <row r="17" spans="1:23">
      <c r="A17" s="32"/>
      <c r="B17" s="23"/>
      <c r="C17" s="24"/>
      <c r="D17" s="24"/>
      <c r="E17" s="24"/>
      <c r="F17" s="24"/>
      <c r="G17" s="25"/>
      <c r="H17" s="25"/>
      <c r="I17" s="25"/>
      <c r="J17" s="25"/>
      <c r="K17" s="25"/>
      <c r="L17" s="25"/>
      <c r="M17" s="26">
        <f t="shared" si="4"/>
        <v>0</v>
      </c>
      <c r="N17" s="27">
        <f>L17*L2+K17*K2+J17*J2+I17*I2+H17*H2+G17*G2+F17*F2+E17*E2+D17*D2+C17*C2+B17*B2</f>
        <v>0</v>
      </c>
      <c r="O17" s="28"/>
      <c r="P17" s="25"/>
      <c r="Q17" s="25"/>
      <c r="R17" s="25"/>
      <c r="S17" s="25"/>
      <c r="T17" s="29">
        <f t="shared" si="0"/>
        <v>0</v>
      </c>
      <c r="U17" s="26">
        <f t="shared" si="1"/>
        <v>0</v>
      </c>
      <c r="V17" s="30">
        <f t="shared" si="2"/>
        <v>0</v>
      </c>
      <c r="W17" s="31">
        <f t="shared" si="3"/>
        <v>0</v>
      </c>
    </row>
    <row r="18" spans="1:23">
      <c r="A18" s="32"/>
      <c r="B18" s="23"/>
      <c r="C18" s="24"/>
      <c r="D18" s="24"/>
      <c r="E18" s="24"/>
      <c r="F18" s="24"/>
      <c r="G18" s="25"/>
      <c r="H18" s="25"/>
      <c r="I18" s="25"/>
      <c r="J18" s="25"/>
      <c r="K18" s="25"/>
      <c r="L18" s="25"/>
      <c r="M18" s="26">
        <f t="shared" si="4"/>
        <v>0</v>
      </c>
      <c r="N18" s="27">
        <f>L18*L2+K18*K2+J18*J2+I18*I2+H18*H2+G18*G2+F18*F2+E18*E2+D18*D2+C18*C2+B18*B2</f>
        <v>0</v>
      </c>
      <c r="O18" s="28"/>
      <c r="P18" s="25"/>
      <c r="Q18" s="25"/>
      <c r="R18" s="25"/>
      <c r="S18" s="25"/>
      <c r="T18" s="29">
        <f t="shared" si="0"/>
        <v>0</v>
      </c>
      <c r="U18" s="26">
        <f t="shared" si="1"/>
        <v>0</v>
      </c>
      <c r="V18" s="30">
        <f t="shared" si="2"/>
        <v>0</v>
      </c>
      <c r="W18" s="31">
        <f t="shared" si="3"/>
        <v>0</v>
      </c>
    </row>
    <row r="19" spans="1:23">
      <c r="A19" s="32"/>
      <c r="B19" s="23"/>
      <c r="C19" s="24"/>
      <c r="D19" s="24"/>
      <c r="E19" s="24"/>
      <c r="F19" s="24"/>
      <c r="G19" s="25"/>
      <c r="H19" s="25"/>
      <c r="I19" s="25"/>
      <c r="J19" s="25"/>
      <c r="K19" s="25"/>
      <c r="L19" s="25"/>
      <c r="M19" s="26">
        <f t="shared" si="4"/>
        <v>0</v>
      </c>
      <c r="N19" s="27">
        <f>L19*L2+K19*K2+J19*J2+I19*I2+H19*H2+G19*G2+F19*F2+E19*E2+D19*D2+C19*C2+B19*B2</f>
        <v>0</v>
      </c>
      <c r="O19" s="28"/>
      <c r="P19" s="25"/>
      <c r="Q19" s="25"/>
      <c r="R19" s="25"/>
      <c r="S19" s="25"/>
      <c r="T19" s="29">
        <f t="shared" si="0"/>
        <v>0</v>
      </c>
      <c r="U19" s="26">
        <f t="shared" si="1"/>
        <v>0</v>
      </c>
      <c r="V19" s="30">
        <f t="shared" si="2"/>
        <v>0</v>
      </c>
      <c r="W19" s="31">
        <f t="shared" si="3"/>
        <v>0</v>
      </c>
    </row>
    <row r="20" spans="1:23">
      <c r="A20" s="32"/>
      <c r="B20" s="23"/>
      <c r="C20" s="24"/>
      <c r="D20" s="24"/>
      <c r="E20" s="24"/>
      <c r="F20" s="24"/>
      <c r="G20" s="25"/>
      <c r="H20" s="25"/>
      <c r="I20" s="25"/>
      <c r="J20" s="25"/>
      <c r="K20" s="25"/>
      <c r="L20" s="25"/>
      <c r="M20" s="26">
        <f t="shared" si="4"/>
        <v>0</v>
      </c>
      <c r="N20" s="27">
        <f>L20*L2+K20*K2+J20*J2+I20*I2+H20*H2+G20*G2+F20*F2+E20*E2+D20*D2+C20*C2+B20*B2</f>
        <v>0</v>
      </c>
      <c r="O20" s="28"/>
      <c r="P20" s="25"/>
      <c r="Q20" s="25"/>
      <c r="R20" s="25"/>
      <c r="S20" s="25"/>
      <c r="T20" s="29">
        <f t="shared" si="0"/>
        <v>0</v>
      </c>
      <c r="U20" s="26">
        <f t="shared" si="1"/>
        <v>0</v>
      </c>
      <c r="V20" s="30">
        <f t="shared" si="2"/>
        <v>0</v>
      </c>
      <c r="W20" s="31">
        <f t="shared" si="3"/>
        <v>0</v>
      </c>
    </row>
    <row r="21" spans="1:23">
      <c r="A21" s="32"/>
      <c r="B21" s="23"/>
      <c r="C21" s="24"/>
      <c r="D21" s="24"/>
      <c r="E21" s="24"/>
      <c r="F21" s="24"/>
      <c r="G21" s="25"/>
      <c r="H21" s="25"/>
      <c r="I21" s="25"/>
      <c r="J21" s="25"/>
      <c r="K21" s="25"/>
      <c r="L21" s="25"/>
      <c r="M21" s="26">
        <f t="shared" si="4"/>
        <v>0</v>
      </c>
      <c r="N21" s="27">
        <f>L21*L2+K21*K2+J21*J2+I21*I2+H21*H2+G21*G2+F21*F2+E21*E2+D21*D2+C21*C2+B21*B2</f>
        <v>0</v>
      </c>
      <c r="O21" s="28"/>
      <c r="P21" s="25"/>
      <c r="Q21" s="25"/>
      <c r="R21" s="25"/>
      <c r="S21" s="25"/>
      <c r="T21" s="29">
        <f t="shared" si="0"/>
        <v>0</v>
      </c>
      <c r="U21" s="26">
        <f t="shared" si="1"/>
        <v>0</v>
      </c>
      <c r="V21" s="30">
        <f t="shared" si="2"/>
        <v>0</v>
      </c>
      <c r="W21" s="31">
        <f t="shared" si="3"/>
        <v>0</v>
      </c>
    </row>
    <row r="22" spans="1:23">
      <c r="A22" s="32"/>
      <c r="B22" s="23"/>
      <c r="C22" s="24"/>
      <c r="D22" s="24"/>
      <c r="E22" s="24"/>
      <c r="F22" s="24"/>
      <c r="G22" s="25"/>
      <c r="H22" s="25"/>
      <c r="I22" s="25"/>
      <c r="J22" s="25"/>
      <c r="K22" s="25"/>
      <c r="L22" s="25"/>
      <c r="M22" s="26">
        <f t="shared" si="4"/>
        <v>0</v>
      </c>
      <c r="N22" s="27">
        <f>L22*L2+K22*K2+J22*J2+I22*I2+H22*H2+G22*G2+F22*F2+E22*E2+D22*D2+C22*C2+B22*B2</f>
        <v>0</v>
      </c>
      <c r="O22" s="28"/>
      <c r="P22" s="25"/>
      <c r="Q22" s="25"/>
      <c r="R22" s="25"/>
      <c r="S22" s="25"/>
      <c r="T22" s="29">
        <f t="shared" si="0"/>
        <v>0</v>
      </c>
      <c r="U22" s="26">
        <f t="shared" si="1"/>
        <v>0</v>
      </c>
      <c r="V22" s="30">
        <f t="shared" si="2"/>
        <v>0</v>
      </c>
      <c r="W22" s="31">
        <f t="shared" si="3"/>
        <v>0</v>
      </c>
    </row>
    <row r="23" spans="1:23">
      <c r="A23" s="34"/>
      <c r="B23" s="35"/>
      <c r="C23" s="36"/>
      <c r="D23" s="36"/>
      <c r="E23" s="36"/>
      <c r="F23" s="36"/>
      <c r="G23" s="37"/>
      <c r="H23" s="37"/>
      <c r="I23" s="37"/>
      <c r="J23" s="37"/>
      <c r="K23" s="37"/>
      <c r="L23" s="37"/>
      <c r="M23" s="38">
        <f t="shared" si="4"/>
        <v>0</v>
      </c>
      <c r="N23" s="39">
        <f>L23*L2+K23*K2+J23*J2+I23*I2+H23*H2+G23*G2+F23*F2+E23*E2+D23*D2+C23*C2+B23*B2</f>
        <v>0</v>
      </c>
      <c r="O23" s="40"/>
      <c r="P23" s="37"/>
      <c r="Q23" s="37"/>
      <c r="R23" s="37"/>
      <c r="S23" s="37"/>
      <c r="T23" s="41">
        <f t="shared" si="0"/>
        <v>0</v>
      </c>
      <c r="U23" s="38">
        <f t="shared" si="1"/>
        <v>0</v>
      </c>
      <c r="V23" s="42">
        <f t="shared" si="2"/>
        <v>0</v>
      </c>
      <c r="W23" s="43">
        <f t="shared" si="3"/>
        <v>0</v>
      </c>
    </row>
    <row r="24" spans="1:23">
      <c r="A24" s="44" t="s">
        <v>38</v>
      </c>
      <c r="B24" s="45">
        <f>SUM(B4:B23)</f>
        <v>0</v>
      </c>
      <c r="C24" s="45">
        <f t="shared" ref="C24:V24" si="5">SUM(C4:C23)</f>
        <v>0</v>
      </c>
      <c r="D24" s="45">
        <f t="shared" si="5"/>
        <v>0</v>
      </c>
      <c r="E24" s="45">
        <f t="shared" si="5"/>
        <v>0</v>
      </c>
      <c r="F24" s="45">
        <f t="shared" si="5"/>
        <v>0</v>
      </c>
      <c r="G24" s="45">
        <f t="shared" si="5"/>
        <v>0</v>
      </c>
      <c r="H24" s="45">
        <f t="shared" si="5"/>
        <v>0</v>
      </c>
      <c r="I24" s="45">
        <f t="shared" si="5"/>
        <v>0</v>
      </c>
      <c r="J24" s="45">
        <f t="shared" si="5"/>
        <v>0</v>
      </c>
      <c r="K24" s="45">
        <f t="shared" si="5"/>
        <v>0</v>
      </c>
      <c r="L24" s="45">
        <f t="shared" si="5"/>
        <v>0</v>
      </c>
      <c r="M24" s="45">
        <f t="shared" si="5"/>
        <v>0</v>
      </c>
      <c r="N24" s="45">
        <f t="shared" si="5"/>
        <v>0</v>
      </c>
      <c r="O24" s="46"/>
      <c r="P24" s="45">
        <f t="shared" si="5"/>
        <v>0</v>
      </c>
      <c r="Q24" s="45">
        <f t="shared" si="5"/>
        <v>0</v>
      </c>
      <c r="R24" s="45">
        <f t="shared" si="5"/>
        <v>0</v>
      </c>
      <c r="S24" s="45">
        <f t="shared" si="5"/>
        <v>0</v>
      </c>
      <c r="T24" s="45">
        <f t="shared" si="5"/>
        <v>0</v>
      </c>
      <c r="U24" s="45">
        <f t="shared" si="5"/>
        <v>0</v>
      </c>
      <c r="V24" s="47">
        <f t="shared" si="5"/>
        <v>0</v>
      </c>
      <c r="W24" s="48">
        <f>SUM(W2:W23)</f>
        <v>0</v>
      </c>
    </row>
    <row r="25" spans="1:23">
      <c r="W25" s="49"/>
    </row>
  </sheetData>
  <mergeCells count="10">
    <mergeCell ref="B1:N1"/>
    <mergeCell ref="O1:T1"/>
    <mergeCell ref="U1:W1"/>
    <mergeCell ref="P2:S2"/>
    <mergeCell ref="U2:V2"/>
    <mergeCell ref="A2:A3"/>
    <mergeCell ref="M2:M3"/>
    <mergeCell ref="N2:N3"/>
    <mergeCell ref="O2:O3"/>
    <mergeCell ref="T2:T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NAVEED BANGLA </vt:lpstr>
      <vt:lpstr>MIRZA</vt:lpstr>
      <vt:lpstr>ADNAN</vt:lpstr>
      <vt:lpstr>ARSLAN</vt:lpstr>
      <vt:lpstr>Mubashar </vt:lpstr>
      <vt:lpstr>NEW IRFAN </vt:lpstr>
      <vt:lpstr>HASSAN</vt:lpstr>
      <vt:lpstr>NAVEED</vt:lpstr>
      <vt:lpstr>IRFAN</vt:lpstr>
      <vt:lpstr>DSO NADEEM </vt:lpstr>
      <vt:lpstr>DSO HASAN</vt:lpstr>
      <vt:lpstr>DSO  2 </vt:lpstr>
      <vt:lpstr>SIM FREE </vt:lpstr>
      <vt:lpstr>SARAM  CS</vt:lpstr>
      <vt:lpstr>CCR HUSSAIN</vt:lpstr>
      <vt:lpstr>ANNIE CCR</vt:lpstr>
      <vt:lpstr>WASEEM GUJJAR</vt:lpstr>
      <vt:lpstr>ABDULLAH DSO </vt:lpstr>
      <vt:lpstr>DSO 1 </vt:lpstr>
      <vt:lpstr>NET STOCK </vt:lpstr>
      <vt:lpstr>MOBILE STOCK</vt:lpstr>
      <vt:lpstr>DSO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 LINKS</cp:lastModifiedBy>
  <dcterms:created xsi:type="dcterms:W3CDTF">2006-09-16T00:00:00Z</dcterms:created>
  <dcterms:modified xsi:type="dcterms:W3CDTF">2026-09-01T13:17:48Z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661F8EC3E2834D00BFA02965F9D5A802_12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